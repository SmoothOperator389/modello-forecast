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diciocco\Desktop\"/>
    </mc:Choice>
  </mc:AlternateContent>
  <xr:revisionPtr revIDLastSave="0" documentId="13_ncr:1_{B5564807-B03C-46B9-9C6D-7328409B33B0}" xr6:coauthVersionLast="47" xr6:coauthVersionMax="47" xr10:uidLastSave="{00000000-0000-0000-0000-000000000000}"/>
  <bookViews>
    <workbookView xWindow="-120" yWindow="-120" windowWidth="29040" windowHeight="15720" xr2:uid="{ABBD1141-FA64-4F7F-A06B-D2A88BFE8E3A}"/>
  </bookViews>
  <sheets>
    <sheet name="Foglio1" sheetId="1" r:id="rId1"/>
    <sheet name="Foglio2" sheetId="2" r:id="rId2"/>
  </sheets>
  <definedNames>
    <definedName name="_xlnm._FilterDatabase" localSheetId="1" hidden="1">Foglio2!$A$1:$F$136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7" i="1" l="1"/>
  <c r="H128" i="1"/>
  <c r="H129" i="1"/>
  <c r="H130" i="1"/>
  <c r="H131" i="1"/>
  <c r="H132" i="1"/>
  <c r="H126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2" i="2"/>
</calcChain>
</file>

<file path=xl/sharedStrings.xml><?xml version="1.0" encoding="utf-8"?>
<sst xmlns="http://schemas.openxmlformats.org/spreadsheetml/2006/main" count="1084" uniqueCount="375">
  <si>
    <t>Store_ID</t>
  </si>
  <si>
    <t>Store_Name</t>
  </si>
  <si>
    <t>Area/Paese</t>
  </si>
  <si>
    <t>Formato</t>
  </si>
  <si>
    <t>Posizione_Geografica</t>
  </si>
  <si>
    <t>Mq_Espositivi</t>
  </si>
  <si>
    <t>Mq_Stock</t>
  </si>
  <si>
    <t>Mq_Totali</t>
  </si>
  <si>
    <t>T76__</t>
  </si>
  <si>
    <t>VIENNA</t>
  </si>
  <si>
    <t>AUSTRIA</t>
  </si>
  <si>
    <t>Turistico</t>
  </si>
  <si>
    <t>T108_</t>
  </si>
  <si>
    <t>GAND</t>
  </si>
  <si>
    <t>BELGIO</t>
  </si>
  <si>
    <t>T129_</t>
  </si>
  <si>
    <t>BRUGES</t>
  </si>
  <si>
    <t>T44__</t>
  </si>
  <si>
    <t>BRUXELLES</t>
  </si>
  <si>
    <t>Ibrido</t>
  </si>
  <si>
    <t>T46__</t>
  </si>
  <si>
    <t>ANTWERPEN</t>
  </si>
  <si>
    <t>AGN01</t>
  </si>
  <si>
    <t>SHANGAI</t>
  </si>
  <si>
    <t>CINA</t>
  </si>
  <si>
    <t>AGN02</t>
  </si>
  <si>
    <t>ONLINE</t>
  </si>
  <si>
    <t>AGN03</t>
  </si>
  <si>
    <t>CHENGDU</t>
  </si>
  <si>
    <t>-</t>
  </si>
  <si>
    <t>AGN05</t>
  </si>
  <si>
    <t>AGN06</t>
  </si>
  <si>
    <t>RED</t>
  </si>
  <si>
    <t>AGN07</t>
  </si>
  <si>
    <t>GUANGZHOU</t>
  </si>
  <si>
    <t>Di quartiere</t>
  </si>
  <si>
    <t>AGN08</t>
  </si>
  <si>
    <t>SHENZEN</t>
  </si>
  <si>
    <t>AGNOU</t>
  </si>
  <si>
    <t>OUTLET</t>
  </si>
  <si>
    <t>KR01_</t>
  </si>
  <si>
    <t>SEOUL</t>
  </si>
  <si>
    <t>COREA</t>
  </si>
  <si>
    <t>KREC_</t>
  </si>
  <si>
    <t>KR02_</t>
  </si>
  <si>
    <t>T100_</t>
  </si>
  <si>
    <t>NIZZA</t>
  </si>
  <si>
    <t>FRANCIA</t>
  </si>
  <si>
    <t>T107_</t>
  </si>
  <si>
    <t>AIX EN PROVENCE</t>
  </si>
  <si>
    <t>T111_</t>
  </si>
  <si>
    <t>STRASBURGO</t>
  </si>
  <si>
    <t>T112_</t>
  </si>
  <si>
    <t>MARSIGLIA</t>
  </si>
  <si>
    <t>T115_</t>
  </si>
  <si>
    <t>TOLOSA</t>
  </si>
  <si>
    <t>T54__</t>
  </si>
  <si>
    <t>PARIS</t>
  </si>
  <si>
    <t>T70LI</t>
  </si>
  <si>
    <t>LYON</t>
  </si>
  <si>
    <t>T75__</t>
  </si>
  <si>
    <t>T81__</t>
  </si>
  <si>
    <t>T90__</t>
  </si>
  <si>
    <t>T95__</t>
  </si>
  <si>
    <t>LILLE</t>
  </si>
  <si>
    <t>T99__</t>
  </si>
  <si>
    <t>BORDEAUX</t>
  </si>
  <si>
    <t>T133_</t>
  </si>
  <si>
    <t>NANTES</t>
  </si>
  <si>
    <t>T103_</t>
  </si>
  <si>
    <t>STUTTGART</t>
  </si>
  <si>
    <t>GERMANIA</t>
  </si>
  <si>
    <t>T117_</t>
  </si>
  <si>
    <t>FRANKFURT</t>
  </si>
  <si>
    <t>T120_</t>
  </si>
  <si>
    <t>COLONIA</t>
  </si>
  <si>
    <t>T43__</t>
  </si>
  <si>
    <t>BERLIN</t>
  </si>
  <si>
    <t>T52__</t>
  </si>
  <si>
    <t>MUNCHEN</t>
  </si>
  <si>
    <t>T58DU</t>
  </si>
  <si>
    <t>DUSSELDORF</t>
  </si>
  <si>
    <t>T64NU</t>
  </si>
  <si>
    <t>NURNBERG</t>
  </si>
  <si>
    <t>T68HA</t>
  </si>
  <si>
    <t>HAMBURG</t>
  </si>
  <si>
    <t>T83__</t>
  </si>
  <si>
    <t>T131_</t>
  </si>
  <si>
    <t>HK01_</t>
  </si>
  <si>
    <t>HONG KONG</t>
  </si>
  <si>
    <t>HKEC_</t>
  </si>
  <si>
    <t>T105_</t>
  </si>
  <si>
    <t>LONDON</t>
  </si>
  <si>
    <t>UK</t>
  </si>
  <si>
    <t>T128_</t>
  </si>
  <si>
    <t>T130_</t>
  </si>
  <si>
    <t>BIRMINGHAM</t>
  </si>
  <si>
    <t>T73__</t>
  </si>
  <si>
    <t>T78__</t>
  </si>
  <si>
    <t>T79__</t>
  </si>
  <si>
    <t>T116_</t>
  </si>
  <si>
    <t>DUBLINO</t>
  </si>
  <si>
    <t>IRLANDA</t>
  </si>
  <si>
    <t>T17__</t>
  </si>
  <si>
    <t>ROMA</t>
  </si>
  <si>
    <t>CENTRO ROMA</t>
  </si>
  <si>
    <t>ITALIA</t>
  </si>
  <si>
    <t>T21__</t>
  </si>
  <si>
    <t>T55RM</t>
  </si>
  <si>
    <t>T66RM</t>
  </si>
  <si>
    <t>T84__</t>
  </si>
  <si>
    <t>RUM03</t>
  </si>
  <si>
    <t>FIRENZE</t>
  </si>
  <si>
    <t>CENTRO SUD ITALIA</t>
  </si>
  <si>
    <t>T124_</t>
  </si>
  <si>
    <t>PISA</t>
  </si>
  <si>
    <t>T125_</t>
  </si>
  <si>
    <t>NAPOLI</t>
  </si>
  <si>
    <t>T20__</t>
  </si>
  <si>
    <t>T26__</t>
  </si>
  <si>
    <t>PALERMO</t>
  </si>
  <si>
    <t>T34FM</t>
  </si>
  <si>
    <t>FORTE DEI MARMI</t>
  </si>
  <si>
    <t>T38LU</t>
  </si>
  <si>
    <t>LUCCA</t>
  </si>
  <si>
    <t>T39AR</t>
  </si>
  <si>
    <t>AREZZO</t>
  </si>
  <si>
    <t>T51__</t>
  </si>
  <si>
    <t>CATANIA</t>
  </si>
  <si>
    <t>T59FI</t>
  </si>
  <si>
    <t>T74__</t>
  </si>
  <si>
    <t>SIENA</t>
  </si>
  <si>
    <t>T86__</t>
  </si>
  <si>
    <t>PERUGIA</t>
  </si>
  <si>
    <t>T104_</t>
  </si>
  <si>
    <t>TREVISO</t>
  </si>
  <si>
    <t>NORD ITALIA</t>
  </si>
  <si>
    <t>T11__</t>
  </si>
  <si>
    <t>BOLOGNA</t>
  </si>
  <si>
    <t>T16__</t>
  </si>
  <si>
    <t>MILANO</t>
  </si>
  <si>
    <t>T23__</t>
  </si>
  <si>
    <t>GENOVA</t>
  </si>
  <si>
    <t>T24__</t>
  </si>
  <si>
    <t>PORTO ROTONDO</t>
  </si>
  <si>
    <t>T25__</t>
  </si>
  <si>
    <t>COMO</t>
  </si>
  <si>
    <t>T27L_</t>
  </si>
  <si>
    <t>LECCO</t>
  </si>
  <si>
    <t>T30BS</t>
  </si>
  <si>
    <t>BRESCIA</t>
  </si>
  <si>
    <t>T31BG</t>
  </si>
  <si>
    <t>BERGAMO</t>
  </si>
  <si>
    <t>T32MO</t>
  </si>
  <si>
    <t>MODENA</t>
  </si>
  <si>
    <t>T33MB</t>
  </si>
  <si>
    <t>MONZA</t>
  </si>
  <si>
    <t>T36PD</t>
  </si>
  <si>
    <t>PADOVA</t>
  </si>
  <si>
    <t>T37PR</t>
  </si>
  <si>
    <t>PARMA</t>
  </si>
  <si>
    <t>T40PC</t>
  </si>
  <si>
    <t>PIACENZA</t>
  </si>
  <si>
    <t>T45__</t>
  </si>
  <si>
    <t>VARESE</t>
  </si>
  <si>
    <t>T47__</t>
  </si>
  <si>
    <t>CORTINA D'AMPEZZO</t>
  </si>
  <si>
    <t>T53__</t>
  </si>
  <si>
    <t>PAVIA</t>
  </si>
  <si>
    <t>T85__</t>
  </si>
  <si>
    <t>T9___</t>
  </si>
  <si>
    <t>TORINO</t>
  </si>
  <si>
    <t>T92__</t>
  </si>
  <si>
    <t>VERONA</t>
  </si>
  <si>
    <t>T93__</t>
  </si>
  <si>
    <t>RICCIONE</t>
  </si>
  <si>
    <t>T94__</t>
  </si>
  <si>
    <t>VENEZIA</t>
  </si>
  <si>
    <t>T97__</t>
  </si>
  <si>
    <t>BOLZANO</t>
  </si>
  <si>
    <t>BASE1</t>
  </si>
  <si>
    <t>BASE3</t>
  </si>
  <si>
    <t>BASEK</t>
  </si>
  <si>
    <t>T127_</t>
  </si>
  <si>
    <t>LUSSEMBURGO</t>
  </si>
  <si>
    <t>OSIT2</t>
  </si>
  <si>
    <t>MONDO</t>
  </si>
  <si>
    <t>T109_</t>
  </si>
  <si>
    <t>OSLO</t>
  </si>
  <si>
    <t>NORWAY</t>
  </si>
  <si>
    <t>T101_</t>
  </si>
  <si>
    <t>AMSTERDAM</t>
  </si>
  <si>
    <t>OLANDA</t>
  </si>
  <si>
    <t>T114_</t>
  </si>
  <si>
    <t>ROTTERDAM</t>
  </si>
  <si>
    <t>T49__</t>
  </si>
  <si>
    <t>T72UT</t>
  </si>
  <si>
    <t>UTRECHT</t>
  </si>
  <si>
    <t>T96__</t>
  </si>
  <si>
    <t>DEN HAAG</t>
  </si>
  <si>
    <t>BASE2</t>
  </si>
  <si>
    <t>BARCELONA</t>
  </si>
  <si>
    <t>SPAGNA</t>
  </si>
  <si>
    <t>T102_</t>
  </si>
  <si>
    <t>ZARAGOZA</t>
  </si>
  <si>
    <t>T106_</t>
  </si>
  <si>
    <t>MADRID</t>
  </si>
  <si>
    <t>T48__</t>
  </si>
  <si>
    <t>T57IB</t>
  </si>
  <si>
    <t>IBIZA</t>
  </si>
  <si>
    <t>T61MD</t>
  </si>
  <si>
    <t>T62BB</t>
  </si>
  <si>
    <t>BILBAO</t>
  </si>
  <si>
    <t>T67B2</t>
  </si>
  <si>
    <t>T69VA</t>
  </si>
  <si>
    <t>VALENCIA</t>
  </si>
  <si>
    <t>T71LC</t>
  </si>
  <si>
    <t>CORUNA</t>
  </si>
  <si>
    <t>DA VALUTARE</t>
  </si>
  <si>
    <t>T77__</t>
  </si>
  <si>
    <t>SIVIGLIA</t>
  </si>
  <si>
    <t>T80__</t>
  </si>
  <si>
    <t>MALAGA</t>
  </si>
  <si>
    <t>T82__</t>
  </si>
  <si>
    <t>PALMA DE MAIORCA</t>
  </si>
  <si>
    <t>T87__</t>
  </si>
  <si>
    <t>T88__</t>
  </si>
  <si>
    <t>T98__</t>
  </si>
  <si>
    <t>SAN SEBASTIAN</t>
  </si>
  <si>
    <t>USA01</t>
  </si>
  <si>
    <t>NEW YORK</t>
  </si>
  <si>
    <t>USA</t>
  </si>
  <si>
    <t>USA02</t>
  </si>
  <si>
    <t>USAEC</t>
  </si>
  <si>
    <t>T110_</t>
  </si>
  <si>
    <t>STOCCOLMA</t>
  </si>
  <si>
    <t>SVEZIA</t>
  </si>
  <si>
    <t>T122_</t>
  </si>
  <si>
    <t>GOTEBORG</t>
  </si>
  <si>
    <t>T119_</t>
  </si>
  <si>
    <t>LAUSANNE</t>
  </si>
  <si>
    <t>SVIZZERA</t>
  </si>
  <si>
    <t>T126_</t>
  </si>
  <si>
    <t>BASILEA</t>
  </si>
  <si>
    <t>T65ZU</t>
  </si>
  <si>
    <t>ZURICH</t>
  </si>
  <si>
    <t>T91__</t>
  </si>
  <si>
    <t>LUGANO</t>
  </si>
  <si>
    <t>PDV</t>
  </si>
  <si>
    <t>COUNTRY</t>
  </si>
  <si>
    <t>CITTà</t>
  </si>
  <si>
    <t>mq area vendita</t>
  </si>
  <si>
    <t>mq area magazzino storage</t>
  </si>
  <si>
    <t>Vienna</t>
  </si>
  <si>
    <t>Gand</t>
  </si>
  <si>
    <t>Bruxelles</t>
  </si>
  <si>
    <t>Anversa</t>
  </si>
  <si>
    <t>CHINA</t>
  </si>
  <si>
    <t>E-commerce</t>
  </si>
  <si>
    <t>AGN04 (non esiste)</t>
  </si>
  <si>
    <t>PECHINO</t>
  </si>
  <si>
    <t>AGN99</t>
  </si>
  <si>
    <t>Shangai</t>
  </si>
  <si>
    <t>AGN03 (chiuso)</t>
  </si>
  <si>
    <t>Chengdu</t>
  </si>
  <si>
    <t>TIM01</t>
  </si>
  <si>
    <t>EMIRATI ARABI</t>
  </si>
  <si>
    <t>DUBAI</t>
  </si>
  <si>
    <t>TIM02</t>
  </si>
  <si>
    <t>Nizza</t>
  </si>
  <si>
    <t>Aix en Provence</t>
  </si>
  <si>
    <t>Strasburgo</t>
  </si>
  <si>
    <t>Marsiglia</t>
  </si>
  <si>
    <t>Tolosa</t>
  </si>
  <si>
    <t>Paris</t>
  </si>
  <si>
    <t>Lione</t>
  </si>
  <si>
    <t>Parigi 2</t>
  </si>
  <si>
    <t>Parigi 3</t>
  </si>
  <si>
    <t>Parigi</t>
  </si>
  <si>
    <t>Lille</t>
  </si>
  <si>
    <t>Bordeaux</t>
  </si>
  <si>
    <t>Stoccarda</t>
  </si>
  <si>
    <t>Francoforte</t>
  </si>
  <si>
    <t>Colonia</t>
  </si>
  <si>
    <t>Berlino Kudamm</t>
  </si>
  <si>
    <t>Berlino</t>
  </si>
  <si>
    <t>Monaco</t>
  </si>
  <si>
    <t>Duesseldorf</t>
  </si>
  <si>
    <t>Norimberg</t>
  </si>
  <si>
    <t>Amburgo</t>
  </si>
  <si>
    <t>Berlino 2</t>
  </si>
  <si>
    <t>INGHILTERRA</t>
  </si>
  <si>
    <t>Londra4</t>
  </si>
  <si>
    <t>Londra</t>
  </si>
  <si>
    <t>Dublino</t>
  </si>
  <si>
    <t>Milano</t>
  </si>
  <si>
    <t>Torino</t>
  </si>
  <si>
    <t>Vintage Roma</t>
  </si>
  <si>
    <t>Firenze</t>
  </si>
  <si>
    <t>Treviso</t>
  </si>
  <si>
    <t>Bologna</t>
  </si>
  <si>
    <t>Pisa</t>
  </si>
  <si>
    <t>Roma</t>
  </si>
  <si>
    <t>Genova</t>
  </si>
  <si>
    <t>P.to Rotondo</t>
  </si>
  <si>
    <t>Como</t>
  </si>
  <si>
    <t>Palermo</t>
  </si>
  <si>
    <t>Lecco</t>
  </si>
  <si>
    <t>Brescia</t>
  </si>
  <si>
    <t>Bergamo</t>
  </si>
  <si>
    <t>Modena</t>
  </si>
  <si>
    <t>Monza</t>
  </si>
  <si>
    <t>Forte dei Marmi</t>
  </si>
  <si>
    <t>Padova</t>
  </si>
  <si>
    <t>Parma</t>
  </si>
  <si>
    <t>Lucca</t>
  </si>
  <si>
    <t>Arezzo</t>
  </si>
  <si>
    <t>Piacenza</t>
  </si>
  <si>
    <t>Varese</t>
  </si>
  <si>
    <t>Cortina d'Ampezzo</t>
  </si>
  <si>
    <t>Catania</t>
  </si>
  <si>
    <t>Pavia</t>
  </si>
  <si>
    <t>Siena</t>
  </si>
  <si>
    <t>Perugia</t>
  </si>
  <si>
    <t>Verona</t>
  </si>
  <si>
    <t>Riccione</t>
  </si>
  <si>
    <t>Venezia</t>
  </si>
  <si>
    <t>Bolzano</t>
  </si>
  <si>
    <t>NORVEGIA</t>
  </si>
  <si>
    <t>Oslo</t>
  </si>
  <si>
    <t>Amsterdam 2</t>
  </si>
  <si>
    <t>Olanda</t>
  </si>
  <si>
    <t>Rotterdam</t>
  </si>
  <si>
    <t>Amsterdam</t>
  </si>
  <si>
    <t>Utrecht</t>
  </si>
  <si>
    <t>Aia</t>
  </si>
  <si>
    <t>SIG01</t>
  </si>
  <si>
    <t>SINGAPORE</t>
  </si>
  <si>
    <t>Zaragozza</t>
  </si>
  <si>
    <t>Madrid 3</t>
  </si>
  <si>
    <t>Barcellona</t>
  </si>
  <si>
    <t>Ibiza</t>
  </si>
  <si>
    <t>Madrid2</t>
  </si>
  <si>
    <t>Bilbao</t>
  </si>
  <si>
    <t>Barcellon</t>
  </si>
  <si>
    <t>Valencia</t>
  </si>
  <si>
    <t>La Coruna</t>
  </si>
  <si>
    <t>Siviglia</t>
  </si>
  <si>
    <t>Malaga</t>
  </si>
  <si>
    <t>Madrid</t>
  </si>
  <si>
    <t>Barcellona 3</t>
  </si>
  <si>
    <t>San sebastian</t>
  </si>
  <si>
    <t>Vintage Bcn</t>
  </si>
  <si>
    <t>Stoccolma</t>
  </si>
  <si>
    <t>Losanna</t>
  </si>
  <si>
    <t>110mq</t>
  </si>
  <si>
    <t>Zurigo</t>
  </si>
  <si>
    <t>Lugano</t>
  </si>
  <si>
    <t>THGIL</t>
  </si>
  <si>
    <t>THAILAND</t>
  </si>
  <si>
    <t>BANGKOK</t>
  </si>
  <si>
    <t>T132_</t>
  </si>
  <si>
    <t>THGI2</t>
  </si>
  <si>
    <t>SIG02</t>
  </si>
  <si>
    <t>THGI3</t>
  </si>
  <si>
    <t>IDN01</t>
  </si>
  <si>
    <t>INDONESIA</t>
  </si>
  <si>
    <t>BALI</t>
  </si>
  <si>
    <t>T121_</t>
  </si>
  <si>
    <t>PORTOGALLO</t>
  </si>
  <si>
    <t>LISBONA</t>
  </si>
  <si>
    <t>USA03</t>
  </si>
  <si>
    <t>STATI UNITI</t>
  </si>
  <si>
    <t>Filtro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</si>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</sst>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2"/>
      <color rgb="FF111827"/>
      <name val="Calibri"/>
      <family val="2"/>
      <scheme val="minor"/>
    </font>
    <font>
      <b/>
      <sz val="12"/>
      <color rgb="FFF5AFC8"/>
      <name val="Calibri"/>
      <family val="2"/>
      <scheme val="minor"/>
    </font>
    <font>
      <b/>
      <sz val="12"/>
      <color rgb="FF999999"/>
      <name val="Calibri"/>
      <family val="2"/>
      <scheme val="minor"/>
    </font>
    <font>
      <b/>
      <sz val="12"/>
      <color rgb="FF37609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4D1F-F23E-4561-A192-7F3C92AB1B30}">
  <dimension ref="A1:H132"/>
  <sheetViews>
    <sheetView tabSelected="1" workbookViewId="0">
      <selection activeCell="A133" sqref="A133:XFD13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2" t="s">
        <v>8</v>
      </c>
      <c r="B2" s="2" t="s">
        <v>9</v>
      </c>
      <c r="C2" s="2" t="s">
        <v>10</v>
      </c>
      <c r="D2" s="3" t="s">
        <v>11</v>
      </c>
      <c r="E2" s="2" t="s">
        <v>10</v>
      </c>
      <c r="F2" s="2">
        <v>300</v>
      </c>
      <c r="G2" s="2">
        <v>70</v>
      </c>
      <c r="H2" s="2">
        <v>370</v>
      </c>
    </row>
    <row r="3" spans="1:8" ht="15.75" x14ac:dyDescent="0.25">
      <c r="A3" s="2" t="s">
        <v>12</v>
      </c>
      <c r="B3" s="2" t="s">
        <v>13</v>
      </c>
      <c r="C3" s="2" t="s">
        <v>14</v>
      </c>
      <c r="D3" s="3" t="s">
        <v>11</v>
      </c>
      <c r="E3" s="2" t="s">
        <v>14</v>
      </c>
      <c r="F3" s="2">
        <v>241</v>
      </c>
      <c r="G3" s="2">
        <v>106</v>
      </c>
      <c r="H3" s="2">
        <v>347</v>
      </c>
    </row>
    <row r="4" spans="1:8" ht="15.75" x14ac:dyDescent="0.25">
      <c r="A4" s="2" t="s">
        <v>15</v>
      </c>
      <c r="B4" s="2" t="s">
        <v>16</v>
      </c>
      <c r="C4" s="2" t="s">
        <v>14</v>
      </c>
      <c r="D4" s="3" t="s">
        <v>11</v>
      </c>
      <c r="E4" s="2" t="s">
        <v>14</v>
      </c>
      <c r="F4" s="2">
        <v>167</v>
      </c>
      <c r="G4" s="2">
        <v>33</v>
      </c>
      <c r="H4" s="2">
        <v>199</v>
      </c>
    </row>
    <row r="5" spans="1:8" ht="15.75" x14ac:dyDescent="0.25">
      <c r="A5" s="2" t="s">
        <v>17</v>
      </c>
      <c r="B5" s="2" t="s">
        <v>18</v>
      </c>
      <c r="C5" s="2" t="s">
        <v>14</v>
      </c>
      <c r="D5" s="4" t="s">
        <v>19</v>
      </c>
      <c r="E5" s="2" t="s">
        <v>14</v>
      </c>
      <c r="F5" s="2">
        <v>250</v>
      </c>
      <c r="G5" s="2">
        <v>106</v>
      </c>
      <c r="H5" s="2">
        <v>356</v>
      </c>
    </row>
    <row r="6" spans="1:8" ht="15.75" x14ac:dyDescent="0.25">
      <c r="A6" s="2" t="s">
        <v>20</v>
      </c>
      <c r="B6" s="2" t="s">
        <v>21</v>
      </c>
      <c r="C6" s="2" t="s">
        <v>14</v>
      </c>
      <c r="D6" s="4" t="s">
        <v>19</v>
      </c>
      <c r="E6" s="2" t="s">
        <v>14</v>
      </c>
      <c r="F6" s="2">
        <v>120</v>
      </c>
      <c r="G6" s="2">
        <v>50</v>
      </c>
      <c r="H6" s="2">
        <v>170</v>
      </c>
    </row>
    <row r="7" spans="1:8" ht="15.75" x14ac:dyDescent="0.25">
      <c r="A7" s="2" t="s">
        <v>22</v>
      </c>
      <c r="B7" s="2" t="s">
        <v>23</v>
      </c>
      <c r="C7" s="2" t="s">
        <v>24</v>
      </c>
      <c r="D7" s="3" t="s">
        <v>11</v>
      </c>
      <c r="E7" s="2" t="s">
        <v>24</v>
      </c>
      <c r="F7" s="2">
        <v>272</v>
      </c>
      <c r="G7" s="2">
        <v>21</v>
      </c>
      <c r="H7" s="2">
        <v>292</v>
      </c>
    </row>
    <row r="8" spans="1:8" ht="15.75" x14ac:dyDescent="0.25">
      <c r="A8" s="2" t="s">
        <v>25</v>
      </c>
      <c r="B8" s="2" t="s">
        <v>26</v>
      </c>
      <c r="C8" s="2" t="s">
        <v>24</v>
      </c>
      <c r="D8" s="4" t="s">
        <v>19</v>
      </c>
      <c r="E8" s="2" t="s">
        <v>24</v>
      </c>
      <c r="F8" s="5"/>
      <c r="G8" s="5"/>
      <c r="H8" s="2">
        <v>0</v>
      </c>
    </row>
    <row r="9" spans="1:8" ht="15.75" x14ac:dyDescent="0.25">
      <c r="A9" s="2" t="s">
        <v>27</v>
      </c>
      <c r="B9" s="2" t="s">
        <v>28</v>
      </c>
      <c r="C9" s="2" t="s">
        <v>24</v>
      </c>
      <c r="D9" s="2" t="s">
        <v>29</v>
      </c>
      <c r="E9" s="2" t="s">
        <v>24</v>
      </c>
      <c r="F9" s="2" t="s">
        <v>29</v>
      </c>
      <c r="G9" s="2" t="s">
        <v>29</v>
      </c>
      <c r="H9" s="2">
        <v>0</v>
      </c>
    </row>
    <row r="10" spans="1:8" ht="15.75" x14ac:dyDescent="0.25">
      <c r="A10" s="2" t="s">
        <v>30</v>
      </c>
      <c r="B10" s="2" t="s">
        <v>28</v>
      </c>
      <c r="C10" s="2" t="s">
        <v>24</v>
      </c>
      <c r="D10" s="2" t="s">
        <v>29</v>
      </c>
      <c r="E10" s="2" t="s">
        <v>24</v>
      </c>
      <c r="F10" s="2">
        <v>93</v>
      </c>
      <c r="G10" s="2">
        <v>7</v>
      </c>
      <c r="H10" s="2">
        <v>100</v>
      </c>
    </row>
    <row r="11" spans="1:8" ht="15.75" x14ac:dyDescent="0.25">
      <c r="A11" s="2" t="s">
        <v>31</v>
      </c>
      <c r="B11" s="2" t="s">
        <v>32</v>
      </c>
      <c r="C11" s="2" t="s">
        <v>24</v>
      </c>
      <c r="D11" s="4" t="s">
        <v>19</v>
      </c>
      <c r="E11" s="2" t="s">
        <v>24</v>
      </c>
      <c r="F11" s="5"/>
      <c r="G11" s="5"/>
      <c r="H11" s="2">
        <v>0</v>
      </c>
    </row>
    <row r="12" spans="1:8" ht="15.75" x14ac:dyDescent="0.25">
      <c r="A12" s="2" t="s">
        <v>33</v>
      </c>
      <c r="B12" s="2" t="s">
        <v>34</v>
      </c>
      <c r="C12" s="2" t="s">
        <v>24</v>
      </c>
      <c r="D12" s="6" t="s">
        <v>35</v>
      </c>
      <c r="E12" s="2" t="s">
        <v>24</v>
      </c>
      <c r="F12" s="2">
        <v>227</v>
      </c>
      <c r="G12" s="2">
        <v>60</v>
      </c>
      <c r="H12" s="2">
        <v>287</v>
      </c>
    </row>
    <row r="13" spans="1:8" ht="15.75" x14ac:dyDescent="0.25">
      <c r="A13" s="2" t="s">
        <v>36</v>
      </c>
      <c r="B13" s="2" t="s">
        <v>37</v>
      </c>
      <c r="C13" s="2" t="s">
        <v>24</v>
      </c>
      <c r="D13" s="2" t="s">
        <v>29</v>
      </c>
      <c r="E13" s="2" t="s">
        <v>24</v>
      </c>
      <c r="F13" s="2">
        <v>116</v>
      </c>
      <c r="G13" s="2">
        <v>4</v>
      </c>
      <c r="H13" s="2">
        <v>120</v>
      </c>
    </row>
    <row r="14" spans="1:8" ht="15.75" x14ac:dyDescent="0.25">
      <c r="A14" s="2" t="s">
        <v>38</v>
      </c>
      <c r="B14" s="2" t="s">
        <v>39</v>
      </c>
      <c r="C14" s="2" t="s">
        <v>24</v>
      </c>
      <c r="D14" s="2" t="s">
        <v>29</v>
      </c>
      <c r="E14" s="2" t="s">
        <v>24</v>
      </c>
      <c r="F14" s="5"/>
      <c r="G14" s="5"/>
      <c r="H14" s="2">
        <v>0</v>
      </c>
    </row>
    <row r="15" spans="1:8" ht="15.75" x14ac:dyDescent="0.25">
      <c r="A15" s="2" t="s">
        <v>40</v>
      </c>
      <c r="B15" s="2" t="s">
        <v>41</v>
      </c>
      <c r="C15" s="2" t="s">
        <v>42</v>
      </c>
      <c r="D15" s="4" t="s">
        <v>19</v>
      </c>
      <c r="E15" s="2" t="s">
        <v>42</v>
      </c>
      <c r="F15" s="2">
        <v>213</v>
      </c>
      <c r="G15" s="2">
        <v>10</v>
      </c>
      <c r="H15" s="2">
        <v>223</v>
      </c>
    </row>
    <row r="16" spans="1:8" ht="15.75" x14ac:dyDescent="0.25">
      <c r="A16" s="2" t="s">
        <v>43</v>
      </c>
      <c r="B16" s="2" t="s">
        <v>26</v>
      </c>
      <c r="C16" s="2" t="s">
        <v>42</v>
      </c>
      <c r="D16" s="2" t="s">
        <v>29</v>
      </c>
      <c r="E16" s="2" t="s">
        <v>42</v>
      </c>
      <c r="F16" s="2" t="s">
        <v>29</v>
      </c>
      <c r="G16" s="2" t="s">
        <v>29</v>
      </c>
      <c r="H16" s="2">
        <v>0</v>
      </c>
    </row>
    <row r="17" spans="1:8" ht="15.75" x14ac:dyDescent="0.25">
      <c r="A17" s="2" t="s">
        <v>44</v>
      </c>
      <c r="B17" s="2" t="s">
        <v>41</v>
      </c>
      <c r="C17" s="2" t="s">
        <v>42</v>
      </c>
      <c r="D17" s="2" t="s">
        <v>29</v>
      </c>
      <c r="E17" s="2" t="s">
        <v>42</v>
      </c>
      <c r="F17" s="5"/>
      <c r="G17" s="5"/>
      <c r="H17" s="2">
        <v>0</v>
      </c>
    </row>
    <row r="18" spans="1:8" ht="15.75" x14ac:dyDescent="0.25">
      <c r="A18" s="2" t="s">
        <v>45</v>
      </c>
      <c r="B18" s="2" t="s">
        <v>46</v>
      </c>
      <c r="C18" s="2" t="s">
        <v>47</v>
      </c>
      <c r="D18" s="3" t="s">
        <v>11</v>
      </c>
      <c r="E18" s="2" t="s">
        <v>47</v>
      </c>
      <c r="F18" s="2">
        <v>190</v>
      </c>
      <c r="G18" s="2">
        <v>50</v>
      </c>
      <c r="H18" s="2">
        <v>240</v>
      </c>
    </row>
    <row r="19" spans="1:8" ht="15.75" x14ac:dyDescent="0.25">
      <c r="A19" s="2" t="s">
        <v>48</v>
      </c>
      <c r="B19" s="2" t="s">
        <v>49</v>
      </c>
      <c r="C19" s="2" t="s">
        <v>47</v>
      </c>
      <c r="D19" s="4" t="s">
        <v>19</v>
      </c>
      <c r="E19" s="2" t="s">
        <v>47</v>
      </c>
      <c r="F19" s="2">
        <v>75</v>
      </c>
      <c r="G19" s="2">
        <v>10</v>
      </c>
      <c r="H19" s="2">
        <v>85</v>
      </c>
    </row>
    <row r="20" spans="1:8" ht="15.75" x14ac:dyDescent="0.25">
      <c r="A20" s="2" t="s">
        <v>50</v>
      </c>
      <c r="B20" s="2" t="s">
        <v>51</v>
      </c>
      <c r="C20" s="2" t="s">
        <v>47</v>
      </c>
      <c r="D20" s="4" t="s">
        <v>19</v>
      </c>
      <c r="E20" s="2" t="s">
        <v>47</v>
      </c>
      <c r="F20" s="2">
        <v>151</v>
      </c>
      <c r="G20" s="2">
        <v>60</v>
      </c>
      <c r="H20" s="2">
        <v>211</v>
      </c>
    </row>
    <row r="21" spans="1:8" ht="15.75" x14ac:dyDescent="0.25">
      <c r="A21" s="2" t="s">
        <v>52</v>
      </c>
      <c r="B21" s="2" t="s">
        <v>53</v>
      </c>
      <c r="C21" s="2" t="s">
        <v>47</v>
      </c>
      <c r="D21" s="4" t="s">
        <v>19</v>
      </c>
      <c r="E21" s="2" t="s">
        <v>47</v>
      </c>
      <c r="F21" s="2">
        <v>153</v>
      </c>
      <c r="G21" s="2">
        <v>29</v>
      </c>
      <c r="H21" s="2">
        <v>182</v>
      </c>
    </row>
    <row r="22" spans="1:8" ht="15.75" x14ac:dyDescent="0.25">
      <c r="A22" s="2" t="s">
        <v>54</v>
      </c>
      <c r="B22" s="2" t="s">
        <v>55</v>
      </c>
      <c r="C22" s="2" t="s">
        <v>47</v>
      </c>
      <c r="D22" s="6" t="s">
        <v>35</v>
      </c>
      <c r="E22" s="2" t="s">
        <v>47</v>
      </c>
      <c r="F22" s="2">
        <v>97</v>
      </c>
      <c r="G22" s="2">
        <v>80</v>
      </c>
      <c r="H22" s="2">
        <v>177</v>
      </c>
    </row>
    <row r="23" spans="1:8" ht="15.75" x14ac:dyDescent="0.25">
      <c r="A23" s="2" t="s">
        <v>56</v>
      </c>
      <c r="B23" s="2" t="s">
        <v>57</v>
      </c>
      <c r="C23" s="2" t="s">
        <v>47</v>
      </c>
      <c r="D23" s="6" t="s">
        <v>35</v>
      </c>
      <c r="E23" s="2" t="s">
        <v>47</v>
      </c>
      <c r="F23" s="2">
        <v>160</v>
      </c>
      <c r="G23" s="2">
        <v>30</v>
      </c>
      <c r="H23" s="2">
        <v>190</v>
      </c>
    </row>
    <row r="24" spans="1:8" ht="15.75" x14ac:dyDescent="0.25">
      <c r="A24" s="2" t="s">
        <v>58</v>
      </c>
      <c r="B24" s="2" t="s">
        <v>59</v>
      </c>
      <c r="C24" s="2" t="s">
        <v>47</v>
      </c>
      <c r="D24" s="6" t="s">
        <v>35</v>
      </c>
      <c r="E24" s="2" t="s">
        <v>47</v>
      </c>
      <c r="F24" s="2">
        <v>120</v>
      </c>
      <c r="G24" s="2">
        <v>100</v>
      </c>
      <c r="H24" s="2">
        <v>220</v>
      </c>
    </row>
    <row r="25" spans="1:8" ht="15.75" x14ac:dyDescent="0.25">
      <c r="A25" s="2" t="s">
        <v>60</v>
      </c>
      <c r="B25" s="2" t="s">
        <v>57</v>
      </c>
      <c r="C25" s="2" t="s">
        <v>47</v>
      </c>
      <c r="D25" s="6" t="s">
        <v>35</v>
      </c>
      <c r="E25" s="2" t="s">
        <v>47</v>
      </c>
      <c r="F25" s="2">
        <v>110</v>
      </c>
      <c r="G25" s="2">
        <v>40</v>
      </c>
      <c r="H25" s="2">
        <v>150</v>
      </c>
    </row>
    <row r="26" spans="1:8" ht="15.75" x14ac:dyDescent="0.25">
      <c r="A26" s="2" t="s">
        <v>61</v>
      </c>
      <c r="B26" s="2" t="s">
        <v>57</v>
      </c>
      <c r="C26" s="2" t="s">
        <v>47</v>
      </c>
      <c r="D26" s="4" t="s">
        <v>19</v>
      </c>
      <c r="E26" s="2" t="s">
        <v>47</v>
      </c>
      <c r="F26" s="2">
        <v>90</v>
      </c>
      <c r="G26" s="2">
        <v>15</v>
      </c>
      <c r="H26" s="2">
        <v>105</v>
      </c>
    </row>
    <row r="27" spans="1:8" ht="15.75" x14ac:dyDescent="0.25">
      <c r="A27" s="2" t="s">
        <v>62</v>
      </c>
      <c r="B27" s="2" t="s">
        <v>57</v>
      </c>
      <c r="C27" s="2" t="s">
        <v>47</v>
      </c>
      <c r="D27" s="3" t="s">
        <v>11</v>
      </c>
      <c r="E27" s="2" t="s">
        <v>47</v>
      </c>
      <c r="F27" s="2">
        <v>160</v>
      </c>
      <c r="G27" s="2">
        <v>50</v>
      </c>
      <c r="H27" s="2">
        <v>210</v>
      </c>
    </row>
    <row r="28" spans="1:8" ht="15.75" x14ac:dyDescent="0.25">
      <c r="A28" s="2" t="s">
        <v>63</v>
      </c>
      <c r="B28" s="2" t="s">
        <v>64</v>
      </c>
      <c r="C28" s="2" t="s">
        <v>47</v>
      </c>
      <c r="D28" s="6" t="s">
        <v>35</v>
      </c>
      <c r="E28" s="2" t="s">
        <v>47</v>
      </c>
      <c r="F28" s="2">
        <v>130</v>
      </c>
      <c r="G28" s="2">
        <v>25</v>
      </c>
      <c r="H28" s="2">
        <v>155</v>
      </c>
    </row>
    <row r="29" spans="1:8" ht="15.75" x14ac:dyDescent="0.25">
      <c r="A29" s="2" t="s">
        <v>65</v>
      </c>
      <c r="B29" s="2" t="s">
        <v>66</v>
      </c>
      <c r="C29" s="2" t="s">
        <v>47</v>
      </c>
      <c r="D29" s="6" t="s">
        <v>35</v>
      </c>
      <c r="E29" s="2" t="s">
        <v>47</v>
      </c>
      <c r="F29" s="2">
        <v>190</v>
      </c>
      <c r="G29" s="2">
        <v>70</v>
      </c>
      <c r="H29" s="2">
        <v>260</v>
      </c>
    </row>
    <row r="30" spans="1:8" ht="15.75" x14ac:dyDescent="0.25">
      <c r="A30" s="2" t="s">
        <v>67</v>
      </c>
      <c r="B30" s="2" t="s">
        <v>68</v>
      </c>
      <c r="C30" s="2" t="s">
        <v>47</v>
      </c>
      <c r="D30" s="2" t="s">
        <v>29</v>
      </c>
      <c r="E30" s="2" t="s">
        <v>47</v>
      </c>
      <c r="F30" s="2" t="s">
        <v>29</v>
      </c>
      <c r="G30" s="2" t="s">
        <v>29</v>
      </c>
      <c r="H30" s="2">
        <v>0</v>
      </c>
    </row>
    <row r="31" spans="1:8" ht="15.75" x14ac:dyDescent="0.25">
      <c r="A31" s="2" t="s">
        <v>69</v>
      </c>
      <c r="B31" s="2" t="s">
        <v>70</v>
      </c>
      <c r="C31" s="2" t="s">
        <v>71</v>
      </c>
      <c r="D31" s="4" t="s">
        <v>19</v>
      </c>
      <c r="E31" s="2" t="s">
        <v>71</v>
      </c>
      <c r="F31" s="2">
        <v>323</v>
      </c>
      <c r="G31" s="2">
        <v>64</v>
      </c>
      <c r="H31" s="2">
        <v>387</v>
      </c>
    </row>
    <row r="32" spans="1:8" ht="15.75" x14ac:dyDescent="0.25">
      <c r="A32" s="2" t="s">
        <v>72</v>
      </c>
      <c r="B32" s="2" t="s">
        <v>73</v>
      </c>
      <c r="C32" s="2" t="s">
        <v>71</v>
      </c>
      <c r="D32" s="3" t="s">
        <v>11</v>
      </c>
      <c r="E32" s="2" t="s">
        <v>71</v>
      </c>
      <c r="F32" s="2">
        <v>160</v>
      </c>
      <c r="G32" s="2">
        <v>80</v>
      </c>
      <c r="H32" s="2">
        <v>240</v>
      </c>
    </row>
    <row r="33" spans="1:8" ht="15.75" x14ac:dyDescent="0.25">
      <c r="A33" s="2" t="s">
        <v>74</v>
      </c>
      <c r="B33" s="2" t="s">
        <v>75</v>
      </c>
      <c r="C33" s="2" t="s">
        <v>71</v>
      </c>
      <c r="D33" s="4" t="s">
        <v>19</v>
      </c>
      <c r="E33" s="2" t="s">
        <v>71</v>
      </c>
      <c r="F33" s="2">
        <v>120</v>
      </c>
      <c r="G33" s="2">
        <v>100</v>
      </c>
      <c r="H33" s="2">
        <v>220</v>
      </c>
    </row>
    <row r="34" spans="1:8" ht="15.75" x14ac:dyDescent="0.25">
      <c r="A34" s="2" t="s">
        <v>76</v>
      </c>
      <c r="B34" s="2" t="s">
        <v>77</v>
      </c>
      <c r="C34" s="2" t="s">
        <v>71</v>
      </c>
      <c r="D34" s="6" t="s">
        <v>35</v>
      </c>
      <c r="E34" s="2" t="s">
        <v>71</v>
      </c>
      <c r="F34" s="2">
        <v>275</v>
      </c>
      <c r="G34" s="2">
        <v>80</v>
      </c>
      <c r="H34" s="2">
        <v>355</v>
      </c>
    </row>
    <row r="35" spans="1:8" ht="15.75" x14ac:dyDescent="0.25">
      <c r="A35" s="2" t="s">
        <v>78</v>
      </c>
      <c r="B35" s="2" t="s">
        <v>79</v>
      </c>
      <c r="C35" s="2" t="s">
        <v>71</v>
      </c>
      <c r="D35" s="3" t="s">
        <v>11</v>
      </c>
      <c r="E35" s="2" t="s">
        <v>71</v>
      </c>
      <c r="F35" s="2">
        <v>190</v>
      </c>
      <c r="G35" s="2">
        <v>65</v>
      </c>
      <c r="H35" s="2">
        <v>255</v>
      </c>
    </row>
    <row r="36" spans="1:8" ht="15.75" x14ac:dyDescent="0.25">
      <c r="A36" s="2" t="s">
        <v>80</v>
      </c>
      <c r="B36" s="2" t="s">
        <v>81</v>
      </c>
      <c r="C36" s="2" t="s">
        <v>71</v>
      </c>
      <c r="D36" s="4" t="s">
        <v>19</v>
      </c>
      <c r="E36" s="2" t="s">
        <v>71</v>
      </c>
      <c r="F36" s="2">
        <v>182</v>
      </c>
      <c r="G36" s="2">
        <v>86</v>
      </c>
      <c r="H36" s="2">
        <v>268</v>
      </c>
    </row>
    <row r="37" spans="1:8" ht="15.75" x14ac:dyDescent="0.25">
      <c r="A37" s="2" t="s">
        <v>82</v>
      </c>
      <c r="B37" s="2" t="s">
        <v>83</v>
      </c>
      <c r="C37" s="2" t="s">
        <v>71</v>
      </c>
      <c r="D37" s="4" t="s">
        <v>19</v>
      </c>
      <c r="E37" s="2" t="s">
        <v>71</v>
      </c>
      <c r="F37" s="2">
        <v>100</v>
      </c>
      <c r="G37" s="2">
        <v>25</v>
      </c>
      <c r="H37" s="2">
        <v>125</v>
      </c>
    </row>
    <row r="38" spans="1:8" ht="15.75" x14ac:dyDescent="0.25">
      <c r="A38" s="2" t="s">
        <v>84</v>
      </c>
      <c r="B38" s="2" t="s">
        <v>85</v>
      </c>
      <c r="C38" s="2" t="s">
        <v>71</v>
      </c>
      <c r="D38" s="4" t="s">
        <v>19</v>
      </c>
      <c r="E38" s="2" t="s">
        <v>71</v>
      </c>
      <c r="F38" s="2">
        <v>255</v>
      </c>
      <c r="G38" s="2">
        <v>190</v>
      </c>
      <c r="H38" s="2">
        <v>445</v>
      </c>
    </row>
    <row r="39" spans="1:8" ht="15.75" x14ac:dyDescent="0.25">
      <c r="A39" s="2" t="s">
        <v>86</v>
      </c>
      <c r="B39" s="2" t="s">
        <v>77</v>
      </c>
      <c r="C39" s="2" t="s">
        <v>71</v>
      </c>
      <c r="D39" s="3" t="s">
        <v>11</v>
      </c>
      <c r="E39" s="2" t="s">
        <v>71</v>
      </c>
      <c r="F39" s="2">
        <v>185</v>
      </c>
      <c r="G39" s="2">
        <v>60</v>
      </c>
      <c r="H39" s="2">
        <v>245</v>
      </c>
    </row>
    <row r="40" spans="1:8" ht="15.75" x14ac:dyDescent="0.25">
      <c r="A40" s="2" t="s">
        <v>87</v>
      </c>
      <c r="B40" s="2" t="s">
        <v>77</v>
      </c>
      <c r="C40" s="2" t="s">
        <v>71</v>
      </c>
      <c r="D40" s="3" t="s">
        <v>11</v>
      </c>
      <c r="E40" s="2" t="s">
        <v>71</v>
      </c>
      <c r="F40" s="2">
        <v>158</v>
      </c>
      <c r="G40" s="2">
        <v>64</v>
      </c>
      <c r="H40" s="2">
        <v>222</v>
      </c>
    </row>
    <row r="41" spans="1:8" ht="15.75" x14ac:dyDescent="0.25">
      <c r="A41" s="2" t="s">
        <v>88</v>
      </c>
      <c r="B41" s="2" t="s">
        <v>89</v>
      </c>
      <c r="C41" s="2" t="s">
        <v>89</v>
      </c>
      <c r="D41" s="3" t="s">
        <v>11</v>
      </c>
      <c r="E41" s="2" t="s">
        <v>89</v>
      </c>
      <c r="F41" s="2">
        <v>360</v>
      </c>
      <c r="G41" s="2">
        <v>40</v>
      </c>
      <c r="H41" s="2">
        <v>400</v>
      </c>
    </row>
    <row r="42" spans="1:8" ht="15.75" x14ac:dyDescent="0.25">
      <c r="A42" s="2" t="s">
        <v>90</v>
      </c>
      <c r="B42" s="2" t="s">
        <v>26</v>
      </c>
      <c r="C42" s="2" t="s">
        <v>89</v>
      </c>
      <c r="D42" s="2" t="s">
        <v>29</v>
      </c>
      <c r="E42" s="2" t="s">
        <v>89</v>
      </c>
      <c r="F42" s="2" t="s">
        <v>29</v>
      </c>
      <c r="G42" s="2" t="s">
        <v>29</v>
      </c>
      <c r="H42" s="2">
        <v>0</v>
      </c>
    </row>
    <row r="43" spans="1:8" ht="15.75" x14ac:dyDescent="0.25">
      <c r="A43" s="2" t="s">
        <v>91</v>
      </c>
      <c r="B43" s="2" t="s">
        <v>92</v>
      </c>
      <c r="C43" s="2" t="s">
        <v>93</v>
      </c>
      <c r="D43" s="6" t="s">
        <v>35</v>
      </c>
      <c r="E43" s="2" t="s">
        <v>93</v>
      </c>
      <c r="F43" s="2">
        <v>125</v>
      </c>
      <c r="G43" s="2">
        <v>35</v>
      </c>
      <c r="H43" s="2">
        <v>160</v>
      </c>
    </row>
    <row r="44" spans="1:8" ht="15.75" x14ac:dyDescent="0.25">
      <c r="A44" s="2" t="s">
        <v>94</v>
      </c>
      <c r="B44" s="2" t="s">
        <v>92</v>
      </c>
      <c r="C44" s="2" t="s">
        <v>93</v>
      </c>
      <c r="D44" s="6" t="s">
        <v>35</v>
      </c>
      <c r="E44" s="2" t="s">
        <v>93</v>
      </c>
      <c r="F44" s="2">
        <v>200</v>
      </c>
      <c r="G44" s="2">
        <v>50</v>
      </c>
      <c r="H44" s="2">
        <v>250</v>
      </c>
    </row>
    <row r="45" spans="1:8" ht="15.75" x14ac:dyDescent="0.25">
      <c r="A45" s="2" t="s">
        <v>95</v>
      </c>
      <c r="B45" s="2" t="s">
        <v>96</v>
      </c>
      <c r="C45" s="2" t="s">
        <v>93</v>
      </c>
      <c r="D45" s="6" t="s">
        <v>35</v>
      </c>
      <c r="E45" s="2" t="s">
        <v>93</v>
      </c>
      <c r="F45" s="2">
        <v>90</v>
      </c>
      <c r="G45" s="2">
        <v>50</v>
      </c>
      <c r="H45" s="2">
        <v>140</v>
      </c>
    </row>
    <row r="46" spans="1:8" ht="15.75" x14ac:dyDescent="0.25">
      <c r="A46" s="2" t="s">
        <v>97</v>
      </c>
      <c r="B46" s="2" t="s">
        <v>92</v>
      </c>
      <c r="C46" s="2" t="s">
        <v>93</v>
      </c>
      <c r="D46" s="3" t="s">
        <v>11</v>
      </c>
      <c r="E46" s="2" t="s">
        <v>93</v>
      </c>
      <c r="F46" s="2">
        <v>114</v>
      </c>
      <c r="G46" s="2">
        <v>28</v>
      </c>
      <c r="H46" s="2">
        <v>142</v>
      </c>
    </row>
    <row r="47" spans="1:8" ht="15.75" x14ac:dyDescent="0.25">
      <c r="A47" s="2" t="s">
        <v>98</v>
      </c>
      <c r="B47" s="2" t="s">
        <v>92</v>
      </c>
      <c r="C47" s="2" t="s">
        <v>93</v>
      </c>
      <c r="D47" s="6" t="s">
        <v>35</v>
      </c>
      <c r="E47" s="2" t="s">
        <v>93</v>
      </c>
      <c r="F47" s="2">
        <v>85</v>
      </c>
      <c r="G47" s="2">
        <v>25</v>
      </c>
      <c r="H47" s="2">
        <v>110</v>
      </c>
    </row>
    <row r="48" spans="1:8" ht="15.75" x14ac:dyDescent="0.25">
      <c r="A48" s="2" t="s">
        <v>99</v>
      </c>
      <c r="B48" s="2" t="s">
        <v>92</v>
      </c>
      <c r="C48" s="2" t="s">
        <v>93</v>
      </c>
      <c r="D48" s="4" t="s">
        <v>19</v>
      </c>
      <c r="E48" s="2" t="s">
        <v>93</v>
      </c>
      <c r="F48" s="2">
        <v>239</v>
      </c>
      <c r="G48" s="2">
        <v>29</v>
      </c>
      <c r="H48" s="2">
        <v>268</v>
      </c>
    </row>
    <row r="49" spans="1:8" ht="15.75" x14ac:dyDescent="0.25">
      <c r="A49" s="2" t="s">
        <v>100</v>
      </c>
      <c r="B49" s="2" t="s">
        <v>101</v>
      </c>
      <c r="C49" s="2" t="s">
        <v>102</v>
      </c>
      <c r="D49" s="3" t="s">
        <v>11</v>
      </c>
      <c r="E49" s="2" t="s">
        <v>102</v>
      </c>
      <c r="F49" s="2">
        <v>201</v>
      </c>
      <c r="G49" s="2">
        <v>90</v>
      </c>
      <c r="H49" s="2">
        <v>291</v>
      </c>
    </row>
    <row r="50" spans="1:8" ht="15.75" x14ac:dyDescent="0.25">
      <c r="A50" s="2" t="s">
        <v>103</v>
      </c>
      <c r="B50" s="2" t="s">
        <v>104</v>
      </c>
      <c r="C50" s="2" t="s">
        <v>105</v>
      </c>
      <c r="D50" s="6" t="s">
        <v>35</v>
      </c>
      <c r="E50" s="2" t="s">
        <v>106</v>
      </c>
      <c r="F50" s="2">
        <v>196</v>
      </c>
      <c r="G50" s="2">
        <v>154</v>
      </c>
      <c r="H50" s="2">
        <v>350</v>
      </c>
    </row>
    <row r="51" spans="1:8" ht="15.75" x14ac:dyDescent="0.25">
      <c r="A51" s="2" t="s">
        <v>107</v>
      </c>
      <c r="B51" s="2" t="s">
        <v>104</v>
      </c>
      <c r="C51" s="2" t="s">
        <v>105</v>
      </c>
      <c r="D51" s="4" t="s">
        <v>19</v>
      </c>
      <c r="E51" s="2" t="s">
        <v>106</v>
      </c>
      <c r="F51" s="2">
        <v>120</v>
      </c>
      <c r="G51" s="2">
        <v>20</v>
      </c>
      <c r="H51" s="2">
        <v>140</v>
      </c>
    </row>
    <row r="52" spans="1:8" ht="15.75" x14ac:dyDescent="0.25">
      <c r="A52" s="2" t="s">
        <v>108</v>
      </c>
      <c r="B52" s="2" t="s">
        <v>104</v>
      </c>
      <c r="C52" s="2" t="s">
        <v>105</v>
      </c>
      <c r="D52" s="3" t="s">
        <v>11</v>
      </c>
      <c r="E52" s="2" t="s">
        <v>106</v>
      </c>
      <c r="F52" s="2">
        <v>120</v>
      </c>
      <c r="G52" s="2">
        <v>60</v>
      </c>
      <c r="H52" s="2">
        <v>180</v>
      </c>
    </row>
    <row r="53" spans="1:8" ht="15.75" x14ac:dyDescent="0.25">
      <c r="A53" s="2" t="s">
        <v>109</v>
      </c>
      <c r="B53" s="2" t="s">
        <v>104</v>
      </c>
      <c r="C53" s="2" t="s">
        <v>105</v>
      </c>
      <c r="D53" s="3" t="s">
        <v>11</v>
      </c>
      <c r="E53" s="2" t="s">
        <v>106</v>
      </c>
      <c r="F53" s="2">
        <v>120</v>
      </c>
      <c r="G53" s="2">
        <v>70</v>
      </c>
      <c r="H53" s="2">
        <v>190</v>
      </c>
    </row>
    <row r="54" spans="1:8" ht="15.75" x14ac:dyDescent="0.25">
      <c r="A54" s="2" t="s">
        <v>110</v>
      </c>
      <c r="B54" s="2" t="s">
        <v>104</v>
      </c>
      <c r="C54" s="2" t="s">
        <v>105</v>
      </c>
      <c r="D54" s="3" t="s">
        <v>11</v>
      </c>
      <c r="E54" s="2" t="s">
        <v>106</v>
      </c>
      <c r="F54" s="2">
        <v>225</v>
      </c>
      <c r="G54" s="2">
        <v>120</v>
      </c>
      <c r="H54" s="2">
        <v>345</v>
      </c>
    </row>
    <row r="55" spans="1:8" ht="15.75" x14ac:dyDescent="0.25">
      <c r="A55" s="2" t="s">
        <v>111</v>
      </c>
      <c r="B55" s="2" t="s">
        <v>112</v>
      </c>
      <c r="C55" s="2" t="s">
        <v>113</v>
      </c>
      <c r="D55" s="3" t="s">
        <v>11</v>
      </c>
      <c r="E55" s="2" t="s">
        <v>106</v>
      </c>
      <c r="F55" s="2">
        <v>60</v>
      </c>
      <c r="G55" s="2">
        <v>15</v>
      </c>
      <c r="H55" s="2">
        <v>75</v>
      </c>
    </row>
    <row r="56" spans="1:8" ht="15.75" x14ac:dyDescent="0.25">
      <c r="A56" s="2" t="s">
        <v>114</v>
      </c>
      <c r="B56" s="2" t="s">
        <v>115</v>
      </c>
      <c r="C56" s="2" t="s">
        <v>113</v>
      </c>
      <c r="D56" s="4" t="s">
        <v>19</v>
      </c>
      <c r="E56" s="2" t="s">
        <v>106</v>
      </c>
      <c r="F56" s="2">
        <v>70</v>
      </c>
      <c r="G56" s="2">
        <v>16</v>
      </c>
      <c r="H56" s="2">
        <v>86</v>
      </c>
    </row>
    <row r="57" spans="1:8" ht="15.75" x14ac:dyDescent="0.25">
      <c r="A57" s="2" t="s">
        <v>116</v>
      </c>
      <c r="B57" s="2" t="s">
        <v>117</v>
      </c>
      <c r="C57" s="2" t="s">
        <v>113</v>
      </c>
      <c r="D57" s="6" t="s">
        <v>35</v>
      </c>
      <c r="E57" s="2" t="s">
        <v>106</v>
      </c>
      <c r="F57" s="2">
        <v>70</v>
      </c>
      <c r="G57" s="2">
        <v>30</v>
      </c>
      <c r="H57" s="2">
        <v>100</v>
      </c>
    </row>
    <row r="58" spans="1:8" ht="15.75" x14ac:dyDescent="0.25">
      <c r="A58" s="2" t="s">
        <v>118</v>
      </c>
      <c r="B58" s="2" t="s">
        <v>112</v>
      </c>
      <c r="C58" s="2" t="s">
        <v>113</v>
      </c>
      <c r="D58" s="6" t="s">
        <v>35</v>
      </c>
      <c r="E58" s="2" t="s">
        <v>106</v>
      </c>
      <c r="F58" s="2">
        <v>185</v>
      </c>
      <c r="G58" s="2">
        <v>30</v>
      </c>
      <c r="H58" s="2">
        <v>215</v>
      </c>
    </row>
    <row r="59" spans="1:8" ht="15.75" x14ac:dyDescent="0.25">
      <c r="A59" s="2" t="s">
        <v>119</v>
      </c>
      <c r="B59" s="2" t="s">
        <v>120</v>
      </c>
      <c r="C59" s="2" t="s">
        <v>113</v>
      </c>
      <c r="D59" s="6" t="s">
        <v>35</v>
      </c>
      <c r="E59" s="2" t="s">
        <v>106</v>
      </c>
      <c r="F59" s="2">
        <v>100</v>
      </c>
      <c r="G59" s="2">
        <v>20</v>
      </c>
      <c r="H59" s="2">
        <v>120</v>
      </c>
    </row>
    <row r="60" spans="1:8" ht="15.75" x14ac:dyDescent="0.25">
      <c r="A60" s="2" t="s">
        <v>121</v>
      </c>
      <c r="B60" s="2" t="s">
        <v>122</v>
      </c>
      <c r="C60" s="2" t="s">
        <v>113</v>
      </c>
      <c r="D60" s="3" t="s">
        <v>11</v>
      </c>
      <c r="E60" s="2" t="s">
        <v>106</v>
      </c>
      <c r="F60" s="2">
        <v>47</v>
      </c>
      <c r="G60" s="2">
        <v>8</v>
      </c>
      <c r="H60" s="2">
        <v>55</v>
      </c>
    </row>
    <row r="61" spans="1:8" ht="15.75" x14ac:dyDescent="0.25">
      <c r="A61" s="2" t="s">
        <v>123</v>
      </c>
      <c r="B61" s="2" t="s">
        <v>124</v>
      </c>
      <c r="C61" s="2" t="s">
        <v>113</v>
      </c>
      <c r="D61" s="4" t="s">
        <v>19</v>
      </c>
      <c r="E61" s="2" t="s">
        <v>106</v>
      </c>
      <c r="F61" s="2">
        <v>90</v>
      </c>
      <c r="G61" s="2">
        <v>30</v>
      </c>
      <c r="H61" s="2">
        <v>120</v>
      </c>
    </row>
    <row r="62" spans="1:8" ht="15.75" x14ac:dyDescent="0.25">
      <c r="A62" s="2" t="s">
        <v>125</v>
      </c>
      <c r="B62" s="2" t="s">
        <v>126</v>
      </c>
      <c r="C62" s="2" t="s">
        <v>113</v>
      </c>
      <c r="D62" s="4" t="s">
        <v>19</v>
      </c>
      <c r="E62" s="2" t="s">
        <v>106</v>
      </c>
      <c r="F62" s="2">
        <v>100</v>
      </c>
      <c r="G62" s="2">
        <v>25</v>
      </c>
      <c r="H62" s="2">
        <v>125</v>
      </c>
    </row>
    <row r="63" spans="1:8" ht="15.75" x14ac:dyDescent="0.25">
      <c r="A63" s="2" t="s">
        <v>127</v>
      </c>
      <c r="B63" s="2" t="s">
        <v>128</v>
      </c>
      <c r="C63" s="2" t="s">
        <v>113</v>
      </c>
      <c r="D63" s="6" t="s">
        <v>35</v>
      </c>
      <c r="E63" s="2" t="s">
        <v>106</v>
      </c>
      <c r="F63" s="2">
        <v>190</v>
      </c>
      <c r="G63" s="2">
        <v>20</v>
      </c>
      <c r="H63" s="2">
        <v>210</v>
      </c>
    </row>
    <row r="64" spans="1:8" ht="15.75" x14ac:dyDescent="0.25">
      <c r="A64" s="2" t="s">
        <v>129</v>
      </c>
      <c r="B64" s="2" t="s">
        <v>112</v>
      </c>
      <c r="C64" s="2" t="s">
        <v>113</v>
      </c>
      <c r="D64" s="4" t="s">
        <v>19</v>
      </c>
      <c r="E64" s="2" t="s">
        <v>106</v>
      </c>
      <c r="F64" s="2">
        <v>142</v>
      </c>
      <c r="G64" s="2">
        <v>25</v>
      </c>
      <c r="H64" s="2">
        <v>167</v>
      </c>
    </row>
    <row r="65" spans="1:8" ht="15.75" x14ac:dyDescent="0.25">
      <c r="A65" s="2" t="s">
        <v>130</v>
      </c>
      <c r="B65" s="2" t="s">
        <v>131</v>
      </c>
      <c r="C65" s="2" t="s">
        <v>113</v>
      </c>
      <c r="D65" s="3" t="s">
        <v>11</v>
      </c>
      <c r="E65" s="2" t="s">
        <v>106</v>
      </c>
      <c r="F65" s="2">
        <v>87</v>
      </c>
      <c r="G65" s="2">
        <v>70</v>
      </c>
      <c r="H65" s="2">
        <v>157</v>
      </c>
    </row>
    <row r="66" spans="1:8" ht="15.75" x14ac:dyDescent="0.25">
      <c r="A66" s="2" t="s">
        <v>132</v>
      </c>
      <c r="B66" s="2" t="s">
        <v>133</v>
      </c>
      <c r="C66" s="2" t="s">
        <v>113</v>
      </c>
      <c r="D66" s="4" t="s">
        <v>19</v>
      </c>
      <c r="E66" s="2" t="s">
        <v>106</v>
      </c>
      <c r="F66" s="2">
        <v>105</v>
      </c>
      <c r="G66" s="2">
        <v>25</v>
      </c>
      <c r="H66" s="2">
        <v>130</v>
      </c>
    </row>
    <row r="67" spans="1:8" ht="15.75" x14ac:dyDescent="0.25">
      <c r="A67" s="2" t="s">
        <v>134</v>
      </c>
      <c r="B67" s="2" t="s">
        <v>135</v>
      </c>
      <c r="C67" s="2" t="s">
        <v>136</v>
      </c>
      <c r="D67" s="6" t="s">
        <v>35</v>
      </c>
      <c r="E67" s="2" t="s">
        <v>106</v>
      </c>
      <c r="F67" s="2">
        <v>140</v>
      </c>
      <c r="G67" s="2">
        <v>50</v>
      </c>
      <c r="H67" s="2">
        <v>190</v>
      </c>
    </row>
    <row r="68" spans="1:8" ht="15.75" x14ac:dyDescent="0.25">
      <c r="A68" s="2" t="s">
        <v>137</v>
      </c>
      <c r="B68" s="2" t="s">
        <v>138</v>
      </c>
      <c r="C68" s="2" t="s">
        <v>136</v>
      </c>
      <c r="D68" s="4" t="s">
        <v>19</v>
      </c>
      <c r="E68" s="2" t="s">
        <v>106</v>
      </c>
      <c r="F68" s="2">
        <v>150</v>
      </c>
      <c r="G68" s="2">
        <v>30</v>
      </c>
      <c r="H68" s="2">
        <v>180</v>
      </c>
    </row>
    <row r="69" spans="1:8" ht="15.75" x14ac:dyDescent="0.25">
      <c r="A69" s="2" t="s">
        <v>139</v>
      </c>
      <c r="B69" s="2" t="s">
        <v>140</v>
      </c>
      <c r="C69" s="2" t="s">
        <v>136</v>
      </c>
      <c r="D69" s="3" t="s">
        <v>11</v>
      </c>
      <c r="E69" s="2" t="s">
        <v>106</v>
      </c>
      <c r="F69" s="2">
        <v>300</v>
      </c>
      <c r="G69" s="2">
        <v>65</v>
      </c>
      <c r="H69" s="2">
        <v>365</v>
      </c>
    </row>
    <row r="70" spans="1:8" ht="15.75" x14ac:dyDescent="0.25">
      <c r="A70" s="2" t="s">
        <v>141</v>
      </c>
      <c r="B70" s="2" t="s">
        <v>142</v>
      </c>
      <c r="C70" s="2" t="s">
        <v>136</v>
      </c>
      <c r="D70" s="4" t="s">
        <v>19</v>
      </c>
      <c r="E70" s="2" t="s">
        <v>106</v>
      </c>
      <c r="F70" s="2">
        <v>283</v>
      </c>
      <c r="G70" s="2">
        <v>30</v>
      </c>
      <c r="H70" s="2">
        <v>313</v>
      </c>
    </row>
    <row r="71" spans="1:8" ht="15.75" x14ac:dyDescent="0.25">
      <c r="A71" s="2" t="s">
        <v>143</v>
      </c>
      <c r="B71" s="2" t="s">
        <v>144</v>
      </c>
      <c r="C71" s="2" t="s">
        <v>136</v>
      </c>
      <c r="D71" s="3" t="s">
        <v>11</v>
      </c>
      <c r="E71" s="2" t="s">
        <v>106</v>
      </c>
      <c r="F71" s="2">
        <v>80</v>
      </c>
      <c r="G71" s="2">
        <v>80</v>
      </c>
      <c r="H71" s="2">
        <v>160</v>
      </c>
    </row>
    <row r="72" spans="1:8" ht="15.75" x14ac:dyDescent="0.25">
      <c r="A72" s="2" t="s">
        <v>145</v>
      </c>
      <c r="B72" s="2" t="s">
        <v>146</v>
      </c>
      <c r="C72" s="2" t="s">
        <v>136</v>
      </c>
      <c r="D72" s="3" t="s">
        <v>11</v>
      </c>
      <c r="E72" s="2" t="s">
        <v>106</v>
      </c>
      <c r="F72" s="2">
        <v>90</v>
      </c>
      <c r="G72" s="2">
        <v>20</v>
      </c>
      <c r="H72" s="2">
        <v>110</v>
      </c>
    </row>
    <row r="73" spans="1:8" ht="15.75" x14ac:dyDescent="0.25">
      <c r="A73" s="2" t="s">
        <v>147</v>
      </c>
      <c r="B73" s="2" t="s">
        <v>148</v>
      </c>
      <c r="C73" s="2" t="s">
        <v>136</v>
      </c>
      <c r="D73" s="4" t="s">
        <v>19</v>
      </c>
      <c r="E73" s="2" t="s">
        <v>106</v>
      </c>
      <c r="F73" s="2">
        <v>200</v>
      </c>
      <c r="G73" s="2">
        <v>20</v>
      </c>
      <c r="H73" s="2">
        <v>220</v>
      </c>
    </row>
    <row r="74" spans="1:8" ht="15.75" x14ac:dyDescent="0.25">
      <c r="A74" s="2" t="s">
        <v>149</v>
      </c>
      <c r="B74" s="2" t="s">
        <v>150</v>
      </c>
      <c r="C74" s="2" t="s">
        <v>136</v>
      </c>
      <c r="D74" s="6" t="s">
        <v>35</v>
      </c>
      <c r="E74" s="2" t="s">
        <v>106</v>
      </c>
      <c r="F74" s="2">
        <v>190</v>
      </c>
      <c r="G74" s="2">
        <v>20</v>
      </c>
      <c r="H74" s="2">
        <v>210</v>
      </c>
    </row>
    <row r="75" spans="1:8" ht="15.75" x14ac:dyDescent="0.25">
      <c r="A75" s="2" t="s">
        <v>151</v>
      </c>
      <c r="B75" s="2" t="s">
        <v>152</v>
      </c>
      <c r="C75" s="2" t="s">
        <v>136</v>
      </c>
      <c r="D75" s="3" t="s">
        <v>11</v>
      </c>
      <c r="E75" s="2" t="s">
        <v>106</v>
      </c>
      <c r="F75" s="2">
        <v>170</v>
      </c>
      <c r="G75" s="2">
        <v>30</v>
      </c>
      <c r="H75" s="2">
        <v>200</v>
      </c>
    </row>
    <row r="76" spans="1:8" ht="15.75" x14ac:dyDescent="0.25">
      <c r="A76" s="2" t="s">
        <v>153</v>
      </c>
      <c r="B76" s="2" t="s">
        <v>154</v>
      </c>
      <c r="C76" s="2" t="s">
        <v>136</v>
      </c>
      <c r="D76" s="6" t="s">
        <v>35</v>
      </c>
      <c r="E76" s="2" t="s">
        <v>106</v>
      </c>
      <c r="F76" s="2">
        <v>150</v>
      </c>
      <c r="G76" s="2">
        <v>15</v>
      </c>
      <c r="H76" s="2">
        <v>165</v>
      </c>
    </row>
    <row r="77" spans="1:8" ht="15.75" x14ac:dyDescent="0.25">
      <c r="A77" s="2" t="s">
        <v>155</v>
      </c>
      <c r="B77" s="2" t="s">
        <v>156</v>
      </c>
      <c r="C77" s="2" t="s">
        <v>136</v>
      </c>
      <c r="D77" s="6" t="s">
        <v>35</v>
      </c>
      <c r="E77" s="2" t="s">
        <v>106</v>
      </c>
      <c r="F77" s="2">
        <v>120</v>
      </c>
      <c r="G77" s="2">
        <v>30</v>
      </c>
      <c r="H77" s="2">
        <v>150</v>
      </c>
    </row>
    <row r="78" spans="1:8" ht="15.75" x14ac:dyDescent="0.25">
      <c r="A78" s="2" t="s">
        <v>157</v>
      </c>
      <c r="B78" s="2" t="s">
        <v>158</v>
      </c>
      <c r="C78" s="2" t="s">
        <v>136</v>
      </c>
      <c r="D78" s="6" t="s">
        <v>35</v>
      </c>
      <c r="E78" s="2" t="s">
        <v>106</v>
      </c>
      <c r="F78" s="2">
        <v>222</v>
      </c>
      <c r="G78" s="2">
        <v>20</v>
      </c>
      <c r="H78" s="2">
        <v>242</v>
      </c>
    </row>
    <row r="79" spans="1:8" ht="15.75" x14ac:dyDescent="0.25">
      <c r="A79" s="2" t="s">
        <v>159</v>
      </c>
      <c r="B79" s="2" t="s">
        <v>160</v>
      </c>
      <c r="C79" s="2" t="s">
        <v>136</v>
      </c>
      <c r="D79" s="6" t="s">
        <v>35</v>
      </c>
      <c r="E79" s="2" t="s">
        <v>106</v>
      </c>
      <c r="F79" s="2">
        <v>257</v>
      </c>
      <c r="G79" s="2">
        <v>45</v>
      </c>
      <c r="H79" s="2">
        <v>302</v>
      </c>
    </row>
    <row r="80" spans="1:8" ht="15.75" x14ac:dyDescent="0.25">
      <c r="A80" s="2" t="s">
        <v>161</v>
      </c>
      <c r="B80" s="2" t="s">
        <v>162</v>
      </c>
      <c r="C80" s="2" t="s">
        <v>136</v>
      </c>
      <c r="D80" s="6" t="s">
        <v>35</v>
      </c>
      <c r="E80" s="2" t="s">
        <v>106</v>
      </c>
      <c r="F80" s="2">
        <v>110</v>
      </c>
      <c r="G80" s="2">
        <v>60</v>
      </c>
      <c r="H80" s="2">
        <v>170</v>
      </c>
    </row>
    <row r="81" spans="1:8" ht="15.75" x14ac:dyDescent="0.25">
      <c r="A81" s="2" t="s">
        <v>163</v>
      </c>
      <c r="B81" s="2" t="s">
        <v>164</v>
      </c>
      <c r="C81" s="2" t="s">
        <v>136</v>
      </c>
      <c r="D81" s="6" t="s">
        <v>35</v>
      </c>
      <c r="E81" s="2" t="s">
        <v>106</v>
      </c>
      <c r="F81" s="2">
        <v>163</v>
      </c>
      <c r="G81" s="2">
        <v>80</v>
      </c>
      <c r="H81" s="2">
        <v>243</v>
      </c>
    </row>
    <row r="82" spans="1:8" ht="15.75" x14ac:dyDescent="0.25">
      <c r="A82" s="2" t="s">
        <v>165</v>
      </c>
      <c r="B82" s="2" t="s">
        <v>166</v>
      </c>
      <c r="C82" s="2" t="s">
        <v>136</v>
      </c>
      <c r="D82" s="3" t="s">
        <v>11</v>
      </c>
      <c r="E82" s="2" t="s">
        <v>106</v>
      </c>
      <c r="F82" s="2">
        <v>50</v>
      </c>
      <c r="G82" s="2">
        <v>6</v>
      </c>
      <c r="H82" s="2">
        <v>56</v>
      </c>
    </row>
    <row r="83" spans="1:8" ht="15.75" x14ac:dyDescent="0.25">
      <c r="A83" s="2" t="s">
        <v>167</v>
      </c>
      <c r="B83" s="2" t="s">
        <v>168</v>
      </c>
      <c r="C83" s="2" t="s">
        <v>136</v>
      </c>
      <c r="D83" s="6" t="s">
        <v>35</v>
      </c>
      <c r="E83" s="2" t="s">
        <v>106</v>
      </c>
      <c r="F83" s="2">
        <v>72</v>
      </c>
      <c r="G83" s="2">
        <v>8</v>
      </c>
      <c r="H83" s="2">
        <v>80</v>
      </c>
    </row>
    <row r="84" spans="1:8" ht="15.75" x14ac:dyDescent="0.25">
      <c r="A84" s="2" t="s">
        <v>169</v>
      </c>
      <c r="B84" s="2" t="s">
        <v>140</v>
      </c>
      <c r="C84" s="2" t="s">
        <v>136</v>
      </c>
      <c r="D84" s="6" t="s">
        <v>35</v>
      </c>
      <c r="E84" s="2" t="s">
        <v>106</v>
      </c>
      <c r="F84" s="2">
        <v>250</v>
      </c>
      <c r="G84" s="2">
        <v>50</v>
      </c>
      <c r="H84" s="2">
        <v>300</v>
      </c>
    </row>
    <row r="85" spans="1:8" ht="15.75" x14ac:dyDescent="0.25">
      <c r="A85" s="2" t="s">
        <v>170</v>
      </c>
      <c r="B85" s="2" t="s">
        <v>171</v>
      </c>
      <c r="C85" s="2" t="s">
        <v>136</v>
      </c>
      <c r="D85" s="4" t="s">
        <v>19</v>
      </c>
      <c r="E85" s="2" t="s">
        <v>106</v>
      </c>
      <c r="F85" s="2">
        <v>170</v>
      </c>
      <c r="G85" s="2">
        <v>30</v>
      </c>
      <c r="H85" s="2">
        <v>200</v>
      </c>
    </row>
    <row r="86" spans="1:8" ht="15.75" x14ac:dyDescent="0.25">
      <c r="A86" s="2" t="s">
        <v>172</v>
      </c>
      <c r="B86" s="2" t="s">
        <v>173</v>
      </c>
      <c r="C86" s="2" t="s">
        <v>136</v>
      </c>
      <c r="D86" s="3" t="s">
        <v>11</v>
      </c>
      <c r="E86" s="2" t="s">
        <v>106</v>
      </c>
      <c r="F86" s="2">
        <v>200</v>
      </c>
      <c r="G86" s="2">
        <v>50</v>
      </c>
      <c r="H86" s="2">
        <v>250</v>
      </c>
    </row>
    <row r="87" spans="1:8" ht="15.75" x14ac:dyDescent="0.25">
      <c r="A87" s="2" t="s">
        <v>174</v>
      </c>
      <c r="B87" s="2" t="s">
        <v>175</v>
      </c>
      <c r="C87" s="2" t="s">
        <v>136</v>
      </c>
      <c r="D87" s="3" t="s">
        <v>11</v>
      </c>
      <c r="E87" s="2" t="s">
        <v>106</v>
      </c>
      <c r="F87" s="2">
        <v>48</v>
      </c>
      <c r="G87" s="2">
        <v>10</v>
      </c>
      <c r="H87" s="2">
        <v>58</v>
      </c>
    </row>
    <row r="88" spans="1:8" ht="15.75" x14ac:dyDescent="0.25">
      <c r="A88" s="2" t="s">
        <v>176</v>
      </c>
      <c r="B88" s="2" t="s">
        <v>177</v>
      </c>
      <c r="C88" s="2" t="s">
        <v>136</v>
      </c>
      <c r="D88" s="3" t="s">
        <v>11</v>
      </c>
      <c r="E88" s="2" t="s">
        <v>106</v>
      </c>
      <c r="F88" s="2">
        <v>191</v>
      </c>
      <c r="G88" s="2">
        <v>60</v>
      </c>
      <c r="H88" s="2">
        <v>251</v>
      </c>
    </row>
    <row r="89" spans="1:8" ht="15.75" x14ac:dyDescent="0.25">
      <c r="A89" s="2" t="s">
        <v>178</v>
      </c>
      <c r="B89" s="2" t="s">
        <v>179</v>
      </c>
      <c r="C89" s="2" t="s">
        <v>136</v>
      </c>
      <c r="D89" s="4" t="s">
        <v>19</v>
      </c>
      <c r="E89" s="2" t="s">
        <v>106</v>
      </c>
      <c r="F89" s="2">
        <v>92</v>
      </c>
      <c r="G89" s="2">
        <v>188</v>
      </c>
      <c r="H89" s="2">
        <v>280</v>
      </c>
    </row>
    <row r="90" spans="1:8" ht="15.75" x14ac:dyDescent="0.25">
      <c r="A90" s="2" t="s">
        <v>180</v>
      </c>
      <c r="B90" s="2" t="s">
        <v>140</v>
      </c>
      <c r="C90" s="2" t="s">
        <v>136</v>
      </c>
      <c r="D90" s="6" t="s">
        <v>35</v>
      </c>
      <c r="E90" s="2" t="s">
        <v>106</v>
      </c>
      <c r="F90" s="2">
        <v>90</v>
      </c>
      <c r="G90" s="2">
        <v>180</v>
      </c>
      <c r="H90" s="2">
        <v>270</v>
      </c>
    </row>
    <row r="91" spans="1:8" ht="15.75" x14ac:dyDescent="0.25">
      <c r="A91" s="2" t="s">
        <v>181</v>
      </c>
      <c r="B91" s="2" t="s">
        <v>171</v>
      </c>
      <c r="C91" s="2" t="s">
        <v>136</v>
      </c>
      <c r="D91" s="4" t="s">
        <v>19</v>
      </c>
      <c r="E91" s="2" t="s">
        <v>106</v>
      </c>
      <c r="F91" s="2">
        <v>120</v>
      </c>
      <c r="G91" s="2">
        <v>180</v>
      </c>
      <c r="H91" s="2">
        <v>300</v>
      </c>
    </row>
    <row r="92" spans="1:8" ht="15.75" x14ac:dyDescent="0.25">
      <c r="A92" s="2" t="s">
        <v>182</v>
      </c>
      <c r="B92" s="2" t="s">
        <v>104</v>
      </c>
      <c r="C92" s="2" t="s">
        <v>105</v>
      </c>
      <c r="D92" s="3" t="s">
        <v>11</v>
      </c>
      <c r="E92" s="2" t="s">
        <v>106</v>
      </c>
      <c r="F92" s="2">
        <v>60</v>
      </c>
      <c r="G92" s="2">
        <v>80</v>
      </c>
      <c r="H92" s="2">
        <v>140</v>
      </c>
    </row>
    <row r="93" spans="1:8" ht="15.75" x14ac:dyDescent="0.25">
      <c r="A93" s="2" t="s">
        <v>183</v>
      </c>
      <c r="B93" s="2" t="s">
        <v>184</v>
      </c>
      <c r="C93" s="2" t="s">
        <v>184</v>
      </c>
      <c r="D93" s="6" t="s">
        <v>35</v>
      </c>
      <c r="E93" s="2" t="s">
        <v>184</v>
      </c>
      <c r="F93" s="2">
        <v>150</v>
      </c>
      <c r="G93" s="2">
        <v>25</v>
      </c>
      <c r="H93" s="2">
        <v>175</v>
      </c>
    </row>
    <row r="94" spans="1:8" ht="15.75" x14ac:dyDescent="0.25">
      <c r="A94" s="2" t="s">
        <v>185</v>
      </c>
      <c r="B94" s="2" t="s">
        <v>26</v>
      </c>
      <c r="C94" s="2" t="s">
        <v>186</v>
      </c>
      <c r="D94" s="4" t="s">
        <v>19</v>
      </c>
      <c r="E94" s="2" t="s">
        <v>186</v>
      </c>
      <c r="F94" s="5"/>
      <c r="G94" s="5"/>
      <c r="H94" s="2">
        <v>0</v>
      </c>
    </row>
    <row r="95" spans="1:8" ht="15.75" x14ac:dyDescent="0.25">
      <c r="A95" s="2" t="s">
        <v>187</v>
      </c>
      <c r="B95" s="2" t="s">
        <v>188</v>
      </c>
      <c r="C95" s="2" t="s">
        <v>189</v>
      </c>
      <c r="D95" s="4" t="s">
        <v>19</v>
      </c>
      <c r="E95" s="2" t="s">
        <v>189</v>
      </c>
      <c r="F95" s="2">
        <v>239</v>
      </c>
      <c r="G95" s="2">
        <v>19</v>
      </c>
      <c r="H95" s="2">
        <v>258</v>
      </c>
    </row>
    <row r="96" spans="1:8" ht="15.75" x14ac:dyDescent="0.25">
      <c r="A96" s="2" t="s">
        <v>190</v>
      </c>
      <c r="B96" s="2" t="s">
        <v>191</v>
      </c>
      <c r="C96" s="2" t="s">
        <v>192</v>
      </c>
      <c r="D96" s="3" t="s">
        <v>11</v>
      </c>
      <c r="E96" s="2" t="s">
        <v>192</v>
      </c>
      <c r="F96" s="2">
        <v>120</v>
      </c>
      <c r="G96" s="2">
        <v>80</v>
      </c>
      <c r="H96" s="2">
        <v>200</v>
      </c>
    </row>
    <row r="97" spans="1:8" ht="15.75" x14ac:dyDescent="0.25">
      <c r="A97" s="2" t="s">
        <v>193</v>
      </c>
      <c r="B97" s="2" t="s">
        <v>194</v>
      </c>
      <c r="C97" s="2" t="s">
        <v>192</v>
      </c>
      <c r="D97" s="6" t="s">
        <v>35</v>
      </c>
      <c r="E97" s="2" t="s">
        <v>192</v>
      </c>
      <c r="F97" s="2">
        <v>210</v>
      </c>
      <c r="G97" s="2">
        <v>115</v>
      </c>
      <c r="H97" s="2">
        <v>325</v>
      </c>
    </row>
    <row r="98" spans="1:8" ht="15.75" x14ac:dyDescent="0.25">
      <c r="A98" s="2" t="s">
        <v>195</v>
      </c>
      <c r="B98" s="2" t="s">
        <v>191</v>
      </c>
      <c r="C98" s="2" t="s">
        <v>192</v>
      </c>
      <c r="D98" s="4" t="s">
        <v>19</v>
      </c>
      <c r="E98" s="2" t="s">
        <v>192</v>
      </c>
      <c r="F98" s="2">
        <v>104</v>
      </c>
      <c r="G98" s="2">
        <v>80</v>
      </c>
      <c r="H98" s="2">
        <v>184</v>
      </c>
    </row>
    <row r="99" spans="1:8" ht="15.75" x14ac:dyDescent="0.25">
      <c r="A99" s="2" t="s">
        <v>196</v>
      </c>
      <c r="B99" s="2" t="s">
        <v>197</v>
      </c>
      <c r="C99" s="2" t="s">
        <v>192</v>
      </c>
      <c r="D99" s="6" t="s">
        <v>35</v>
      </c>
      <c r="E99" s="2" t="s">
        <v>192</v>
      </c>
      <c r="F99" s="2">
        <v>90</v>
      </c>
      <c r="G99" s="5"/>
      <c r="H99" s="2">
        <v>90</v>
      </c>
    </row>
    <row r="100" spans="1:8" ht="15.75" x14ac:dyDescent="0.25">
      <c r="A100" s="2" t="s">
        <v>198</v>
      </c>
      <c r="B100" s="2" t="s">
        <v>199</v>
      </c>
      <c r="C100" s="2" t="s">
        <v>192</v>
      </c>
      <c r="D100" s="6" t="s">
        <v>35</v>
      </c>
      <c r="E100" s="2" t="s">
        <v>192</v>
      </c>
      <c r="F100" s="2">
        <v>97</v>
      </c>
      <c r="G100" s="2">
        <v>60</v>
      </c>
      <c r="H100" s="2">
        <v>157</v>
      </c>
    </row>
    <row r="101" spans="1:8" ht="15.75" x14ac:dyDescent="0.25">
      <c r="A101" s="2" t="s">
        <v>200</v>
      </c>
      <c r="B101" s="2" t="s">
        <v>201</v>
      </c>
      <c r="C101" s="2" t="s">
        <v>202</v>
      </c>
      <c r="D101" s="4" t="s">
        <v>19</v>
      </c>
      <c r="E101" s="2" t="s">
        <v>202</v>
      </c>
      <c r="F101" s="2">
        <v>102</v>
      </c>
      <c r="G101" s="2">
        <v>10</v>
      </c>
      <c r="H101" s="2">
        <v>113</v>
      </c>
    </row>
    <row r="102" spans="1:8" ht="15.75" x14ac:dyDescent="0.25">
      <c r="A102" s="2" t="s">
        <v>203</v>
      </c>
      <c r="B102" s="2" t="s">
        <v>204</v>
      </c>
      <c r="C102" s="2" t="s">
        <v>202</v>
      </c>
      <c r="D102" s="6" t="s">
        <v>35</v>
      </c>
      <c r="E102" s="2" t="s">
        <v>202</v>
      </c>
      <c r="F102" s="2">
        <v>114</v>
      </c>
      <c r="G102" s="2">
        <v>15</v>
      </c>
      <c r="H102" s="2">
        <v>130</v>
      </c>
    </row>
    <row r="103" spans="1:8" ht="15.75" x14ac:dyDescent="0.25">
      <c r="A103" s="2" t="s">
        <v>205</v>
      </c>
      <c r="B103" s="2" t="s">
        <v>206</v>
      </c>
      <c r="C103" s="2" t="s">
        <v>202</v>
      </c>
      <c r="D103" s="6" t="s">
        <v>35</v>
      </c>
      <c r="E103" s="2" t="s">
        <v>202</v>
      </c>
      <c r="F103" s="2">
        <v>94</v>
      </c>
      <c r="G103" s="2">
        <v>14</v>
      </c>
      <c r="H103" s="2">
        <v>108</v>
      </c>
    </row>
    <row r="104" spans="1:8" ht="15.75" x14ac:dyDescent="0.25">
      <c r="A104" s="2" t="s">
        <v>207</v>
      </c>
      <c r="B104" s="2" t="s">
        <v>201</v>
      </c>
      <c r="C104" s="2" t="s">
        <v>202</v>
      </c>
      <c r="D104" s="4" t="s">
        <v>19</v>
      </c>
      <c r="E104" s="2" t="s">
        <v>202</v>
      </c>
      <c r="F104" s="2">
        <v>191</v>
      </c>
      <c r="G104" s="2">
        <v>95</v>
      </c>
      <c r="H104" s="2">
        <v>286</v>
      </c>
    </row>
    <row r="105" spans="1:8" ht="15.75" x14ac:dyDescent="0.25">
      <c r="A105" s="2" t="s">
        <v>208</v>
      </c>
      <c r="B105" s="2" t="s">
        <v>209</v>
      </c>
      <c r="C105" s="2" t="s">
        <v>202</v>
      </c>
      <c r="D105" s="3" t="s">
        <v>11</v>
      </c>
      <c r="E105" s="2" t="s">
        <v>202</v>
      </c>
      <c r="F105" s="2">
        <v>57</v>
      </c>
      <c r="G105" s="2">
        <v>6</v>
      </c>
      <c r="H105" s="2">
        <v>63</v>
      </c>
    </row>
    <row r="106" spans="1:8" ht="15.75" x14ac:dyDescent="0.25">
      <c r="A106" s="2" t="s">
        <v>210</v>
      </c>
      <c r="B106" s="2" t="s">
        <v>206</v>
      </c>
      <c r="C106" s="2" t="s">
        <v>202</v>
      </c>
      <c r="D106" s="3" t="s">
        <v>11</v>
      </c>
      <c r="E106" s="2" t="s">
        <v>202</v>
      </c>
      <c r="F106" s="2">
        <v>99</v>
      </c>
      <c r="G106" s="2">
        <v>15</v>
      </c>
      <c r="H106" s="2">
        <v>114</v>
      </c>
    </row>
    <row r="107" spans="1:8" ht="15.75" x14ac:dyDescent="0.25">
      <c r="A107" s="2" t="s">
        <v>211</v>
      </c>
      <c r="B107" s="2" t="s">
        <v>212</v>
      </c>
      <c r="C107" s="2" t="s">
        <v>202</v>
      </c>
      <c r="D107" s="3" t="s">
        <v>11</v>
      </c>
      <c r="E107" s="2" t="s">
        <v>202</v>
      </c>
      <c r="F107" s="2">
        <v>150</v>
      </c>
      <c r="G107" s="2">
        <v>34</v>
      </c>
      <c r="H107" s="2">
        <v>184</v>
      </c>
    </row>
    <row r="108" spans="1:8" ht="15.75" x14ac:dyDescent="0.25">
      <c r="A108" s="2" t="s">
        <v>213</v>
      </c>
      <c r="B108" s="2" t="s">
        <v>201</v>
      </c>
      <c r="C108" s="2" t="s">
        <v>202</v>
      </c>
      <c r="D108" s="6" t="s">
        <v>35</v>
      </c>
      <c r="E108" s="2" t="s">
        <v>202</v>
      </c>
      <c r="F108" s="2">
        <v>86</v>
      </c>
      <c r="G108" s="2">
        <v>8</v>
      </c>
      <c r="H108" s="2">
        <v>94</v>
      </c>
    </row>
    <row r="109" spans="1:8" ht="15.75" x14ac:dyDescent="0.25">
      <c r="A109" s="2" t="s">
        <v>214</v>
      </c>
      <c r="B109" s="2" t="s">
        <v>215</v>
      </c>
      <c r="C109" s="2" t="s">
        <v>202</v>
      </c>
      <c r="D109" s="4" t="s">
        <v>19</v>
      </c>
      <c r="E109" s="2" t="s">
        <v>202</v>
      </c>
      <c r="F109" s="2">
        <v>168</v>
      </c>
      <c r="G109" s="2">
        <v>40</v>
      </c>
      <c r="H109" s="2">
        <v>208</v>
      </c>
    </row>
    <row r="110" spans="1:8" ht="15.75" x14ac:dyDescent="0.25">
      <c r="A110" s="2" t="s">
        <v>216</v>
      </c>
      <c r="B110" s="2" t="s">
        <v>217</v>
      </c>
      <c r="C110" s="2" t="s">
        <v>202</v>
      </c>
      <c r="D110" s="2" t="s">
        <v>218</v>
      </c>
      <c r="E110" s="2" t="s">
        <v>202</v>
      </c>
      <c r="F110" s="2">
        <v>99</v>
      </c>
      <c r="G110" s="2">
        <v>21</v>
      </c>
      <c r="H110" s="2">
        <v>120</v>
      </c>
    </row>
    <row r="111" spans="1:8" ht="15.75" x14ac:dyDescent="0.25">
      <c r="A111" s="2" t="s">
        <v>219</v>
      </c>
      <c r="B111" s="2" t="s">
        <v>220</v>
      </c>
      <c r="C111" s="2" t="s">
        <v>202</v>
      </c>
      <c r="D111" s="4" t="s">
        <v>19</v>
      </c>
      <c r="E111" s="2" t="s">
        <v>202</v>
      </c>
      <c r="F111" s="2">
        <v>120</v>
      </c>
      <c r="G111" s="2">
        <v>90</v>
      </c>
      <c r="H111" s="2">
        <v>210</v>
      </c>
    </row>
    <row r="112" spans="1:8" ht="15.75" x14ac:dyDescent="0.25">
      <c r="A112" s="2" t="s">
        <v>221</v>
      </c>
      <c r="B112" s="2" t="s">
        <v>222</v>
      </c>
      <c r="C112" s="2" t="s">
        <v>202</v>
      </c>
      <c r="D112" s="3" t="s">
        <v>11</v>
      </c>
      <c r="E112" s="2" t="s">
        <v>202</v>
      </c>
      <c r="F112" s="2">
        <v>80</v>
      </c>
      <c r="G112" s="2">
        <v>9</v>
      </c>
      <c r="H112" s="2">
        <v>89</v>
      </c>
    </row>
    <row r="113" spans="1:8" ht="15.75" x14ac:dyDescent="0.25">
      <c r="A113" s="2" t="s">
        <v>223</v>
      </c>
      <c r="B113" s="2" t="s">
        <v>224</v>
      </c>
      <c r="C113" s="2" t="s">
        <v>202</v>
      </c>
      <c r="D113" s="3" t="s">
        <v>11</v>
      </c>
      <c r="E113" s="2" t="s">
        <v>202</v>
      </c>
      <c r="F113" s="2">
        <v>30</v>
      </c>
      <c r="G113" s="2">
        <v>20</v>
      </c>
      <c r="H113" s="2">
        <v>50</v>
      </c>
    </row>
    <row r="114" spans="1:8" ht="15.75" x14ac:dyDescent="0.25">
      <c r="A114" s="2" t="s">
        <v>225</v>
      </c>
      <c r="B114" s="2" t="s">
        <v>206</v>
      </c>
      <c r="C114" s="2" t="s">
        <v>202</v>
      </c>
      <c r="D114" s="3" t="s">
        <v>11</v>
      </c>
      <c r="E114" s="2" t="s">
        <v>202</v>
      </c>
      <c r="F114" s="2">
        <v>119</v>
      </c>
      <c r="G114" s="2">
        <v>122</v>
      </c>
      <c r="H114" s="2">
        <v>241</v>
      </c>
    </row>
    <row r="115" spans="1:8" ht="15.75" x14ac:dyDescent="0.25">
      <c r="A115" s="2" t="s">
        <v>226</v>
      </c>
      <c r="B115" s="2" t="s">
        <v>201</v>
      </c>
      <c r="C115" s="2" t="s">
        <v>202</v>
      </c>
      <c r="D115" s="3" t="s">
        <v>11</v>
      </c>
      <c r="E115" s="2" t="s">
        <v>202</v>
      </c>
      <c r="F115" s="2">
        <v>70</v>
      </c>
      <c r="G115" s="2">
        <v>66</v>
      </c>
      <c r="H115" s="2">
        <v>136</v>
      </c>
    </row>
    <row r="116" spans="1:8" ht="15.75" x14ac:dyDescent="0.25">
      <c r="A116" s="2" t="s">
        <v>227</v>
      </c>
      <c r="B116" s="2" t="s">
        <v>228</v>
      </c>
      <c r="C116" s="2" t="s">
        <v>202</v>
      </c>
      <c r="D116" s="6" t="s">
        <v>35</v>
      </c>
      <c r="E116" s="2" t="s">
        <v>202</v>
      </c>
      <c r="F116" s="2">
        <v>95</v>
      </c>
      <c r="G116" s="2">
        <v>53</v>
      </c>
      <c r="H116" s="2">
        <v>148</v>
      </c>
    </row>
    <row r="117" spans="1:8" ht="15.75" x14ac:dyDescent="0.25">
      <c r="A117" s="2" t="s">
        <v>229</v>
      </c>
      <c r="B117" s="2" t="s">
        <v>230</v>
      </c>
      <c r="C117" s="2" t="s">
        <v>231</v>
      </c>
      <c r="D117" s="6" t="s">
        <v>35</v>
      </c>
      <c r="E117" s="2" t="s">
        <v>231</v>
      </c>
      <c r="F117" s="2">
        <v>90</v>
      </c>
      <c r="G117" s="2">
        <v>150</v>
      </c>
      <c r="H117" s="2">
        <v>240</v>
      </c>
    </row>
    <row r="118" spans="1:8" ht="15.75" x14ac:dyDescent="0.25">
      <c r="A118" s="2" t="s">
        <v>232</v>
      </c>
      <c r="B118" s="2" t="s">
        <v>230</v>
      </c>
      <c r="C118" s="2" t="s">
        <v>231</v>
      </c>
      <c r="D118" s="4" t="s">
        <v>19</v>
      </c>
      <c r="E118" s="2" t="s">
        <v>231</v>
      </c>
      <c r="F118" s="2">
        <v>180</v>
      </c>
      <c r="G118" s="2">
        <v>110</v>
      </c>
      <c r="H118" s="2">
        <v>290</v>
      </c>
    </row>
    <row r="119" spans="1:8" ht="15.75" x14ac:dyDescent="0.25">
      <c r="A119" s="2" t="s">
        <v>233</v>
      </c>
      <c r="B119" s="2" t="s">
        <v>26</v>
      </c>
      <c r="C119" s="2" t="s">
        <v>231</v>
      </c>
      <c r="D119" s="2" t="s">
        <v>29</v>
      </c>
      <c r="E119" s="2" t="s">
        <v>231</v>
      </c>
      <c r="F119" s="2" t="s">
        <v>29</v>
      </c>
      <c r="G119" s="2" t="s">
        <v>29</v>
      </c>
      <c r="H119" s="2">
        <v>0</v>
      </c>
    </row>
    <row r="120" spans="1:8" ht="15.75" x14ac:dyDescent="0.25">
      <c r="A120" s="2" t="s">
        <v>234</v>
      </c>
      <c r="B120" s="2" t="s">
        <v>235</v>
      </c>
      <c r="C120" s="2" t="s">
        <v>236</v>
      </c>
      <c r="D120" s="4" t="s">
        <v>19</v>
      </c>
      <c r="E120" s="2" t="s">
        <v>236</v>
      </c>
      <c r="F120" s="2">
        <v>400</v>
      </c>
      <c r="G120" s="2">
        <v>77</v>
      </c>
      <c r="H120" s="2">
        <v>477</v>
      </c>
    </row>
    <row r="121" spans="1:8" ht="15.75" x14ac:dyDescent="0.25">
      <c r="A121" s="2" t="s">
        <v>237</v>
      </c>
      <c r="B121" s="2" t="s">
        <v>238</v>
      </c>
      <c r="C121" s="2" t="s">
        <v>236</v>
      </c>
      <c r="D121" s="4" t="s">
        <v>19</v>
      </c>
      <c r="E121" s="2" t="s">
        <v>236</v>
      </c>
      <c r="F121" s="2">
        <v>120</v>
      </c>
      <c r="G121" s="2">
        <v>10</v>
      </c>
      <c r="H121" s="2">
        <v>130</v>
      </c>
    </row>
    <row r="122" spans="1:8" ht="15.75" x14ac:dyDescent="0.25">
      <c r="A122" s="2" t="s">
        <v>239</v>
      </c>
      <c r="B122" s="2" t="s">
        <v>240</v>
      </c>
      <c r="C122" s="2" t="s">
        <v>241</v>
      </c>
      <c r="D122" s="6" t="s">
        <v>35</v>
      </c>
      <c r="E122" s="2" t="s">
        <v>241</v>
      </c>
      <c r="F122" s="2">
        <v>183</v>
      </c>
      <c r="G122" s="2">
        <v>104</v>
      </c>
      <c r="H122" s="2">
        <v>287</v>
      </c>
    </row>
    <row r="123" spans="1:8" ht="15.75" x14ac:dyDescent="0.25">
      <c r="A123" s="2" t="s">
        <v>242</v>
      </c>
      <c r="B123" s="2" t="s">
        <v>243</v>
      </c>
      <c r="C123" s="2" t="s">
        <v>241</v>
      </c>
      <c r="D123" s="4" t="s">
        <v>19</v>
      </c>
      <c r="E123" s="2" t="s">
        <v>241</v>
      </c>
      <c r="F123" s="2">
        <v>110</v>
      </c>
      <c r="G123" s="2">
        <v>70</v>
      </c>
      <c r="H123" s="2">
        <v>180</v>
      </c>
    </row>
    <row r="124" spans="1:8" ht="15.75" x14ac:dyDescent="0.25">
      <c r="A124" s="2" t="s">
        <v>244</v>
      </c>
      <c r="B124" s="2" t="s">
        <v>245</v>
      </c>
      <c r="C124" s="2" t="s">
        <v>241</v>
      </c>
      <c r="D124" s="4" t="s">
        <v>19</v>
      </c>
      <c r="E124" s="2" t="s">
        <v>241</v>
      </c>
      <c r="F124" s="2">
        <v>170</v>
      </c>
      <c r="G124" s="2">
        <v>40</v>
      </c>
      <c r="H124" s="2">
        <v>210</v>
      </c>
    </row>
    <row r="125" spans="1:8" ht="15.75" x14ac:dyDescent="0.25">
      <c r="A125" s="2" t="s">
        <v>246</v>
      </c>
      <c r="B125" s="2" t="s">
        <v>247</v>
      </c>
      <c r="C125" s="2" t="s">
        <v>241</v>
      </c>
      <c r="D125" s="4" t="s">
        <v>19</v>
      </c>
      <c r="E125" s="2" t="s">
        <v>241</v>
      </c>
      <c r="F125" s="2">
        <v>140</v>
      </c>
      <c r="G125" s="2">
        <v>93</v>
      </c>
      <c r="H125" s="2">
        <v>233</v>
      </c>
    </row>
    <row r="126" spans="1:8" ht="15.75" x14ac:dyDescent="0.25">
      <c r="A126" s="2" t="s">
        <v>265</v>
      </c>
      <c r="B126" s="2" t="s">
        <v>267</v>
      </c>
      <c r="C126" s="2" t="s">
        <v>266</v>
      </c>
      <c r="D126" s="4" t="s">
        <v>19</v>
      </c>
      <c r="E126" s="2" t="s">
        <v>374</v>
      </c>
      <c r="F126" s="2">
        <v>85</v>
      </c>
      <c r="G126" s="2">
        <v>15</v>
      </c>
      <c r="H126" s="2">
        <f>SUM(F126:G126)</f>
        <v>100</v>
      </c>
    </row>
    <row r="127" spans="1:8" ht="15.75" x14ac:dyDescent="0.25">
      <c r="A127" s="2" t="s">
        <v>268</v>
      </c>
      <c r="B127" s="2" t="s">
        <v>267</v>
      </c>
      <c r="C127" s="2" t="s">
        <v>266</v>
      </c>
      <c r="D127" s="6" t="s">
        <v>35</v>
      </c>
      <c r="E127" s="2" t="s">
        <v>374</v>
      </c>
      <c r="F127" s="2">
        <v>144</v>
      </c>
      <c r="G127" s="2">
        <v>36</v>
      </c>
      <c r="H127" s="2">
        <f t="shared" ref="H127:H132" si="0">SUM(F127:G127)</f>
        <v>180</v>
      </c>
    </row>
    <row r="128" spans="1:8" ht="15.75" x14ac:dyDescent="0.25">
      <c r="A128" s="2" t="s">
        <v>336</v>
      </c>
      <c r="B128" s="2" t="s">
        <v>337</v>
      </c>
      <c r="C128" s="2" t="s">
        <v>337</v>
      </c>
      <c r="D128" s="4" t="s">
        <v>19</v>
      </c>
      <c r="E128" s="2" t="s">
        <v>374</v>
      </c>
      <c r="F128" s="2">
        <v>100</v>
      </c>
      <c r="G128" s="2">
        <v>24</v>
      </c>
      <c r="H128" s="2">
        <f t="shared" si="0"/>
        <v>124</v>
      </c>
    </row>
    <row r="129" spans="1:8" ht="15.75" x14ac:dyDescent="0.25">
      <c r="A129" s="2" t="s">
        <v>358</v>
      </c>
      <c r="B129" s="2" t="s">
        <v>360</v>
      </c>
      <c r="C129" s="2" t="s">
        <v>359</v>
      </c>
      <c r="D129" s="4" t="s">
        <v>19</v>
      </c>
      <c r="E129" s="2" t="s">
        <v>374</v>
      </c>
      <c r="F129" s="2">
        <v>82</v>
      </c>
      <c r="G129" s="2">
        <v>13</v>
      </c>
      <c r="H129" s="2">
        <f t="shared" si="0"/>
        <v>95</v>
      </c>
    </row>
    <row r="130" spans="1:8" ht="15.75" x14ac:dyDescent="0.25">
      <c r="A130" s="2" t="s">
        <v>362</v>
      </c>
      <c r="B130" s="2" t="s">
        <v>360</v>
      </c>
      <c r="C130" s="2" t="s">
        <v>359</v>
      </c>
      <c r="D130" s="4" t="s">
        <v>19</v>
      </c>
      <c r="E130" s="2" t="s">
        <v>374</v>
      </c>
      <c r="F130" s="2">
        <v>122</v>
      </c>
      <c r="G130" s="2">
        <v>21</v>
      </c>
      <c r="H130" s="2">
        <f t="shared" si="0"/>
        <v>143</v>
      </c>
    </row>
    <row r="131" spans="1:8" ht="15.75" x14ac:dyDescent="0.25">
      <c r="A131" s="2" t="s">
        <v>363</v>
      </c>
      <c r="B131" s="2" t="s">
        <v>337</v>
      </c>
      <c r="C131" s="2" t="s">
        <v>337</v>
      </c>
      <c r="D131" s="4" t="s">
        <v>19</v>
      </c>
      <c r="E131" s="2" t="s">
        <v>374</v>
      </c>
      <c r="F131" s="2">
        <v>140</v>
      </c>
      <c r="G131" s="2">
        <v>20</v>
      </c>
      <c r="H131" s="2">
        <f t="shared" si="0"/>
        <v>160</v>
      </c>
    </row>
    <row r="132" spans="1:8" ht="15.75" x14ac:dyDescent="0.25">
      <c r="A132" s="2" t="s">
        <v>364</v>
      </c>
      <c r="B132" s="2" t="s">
        <v>360</v>
      </c>
      <c r="C132" s="2" t="s">
        <v>359</v>
      </c>
      <c r="D132" s="6" t="s">
        <v>35</v>
      </c>
      <c r="E132" s="2" t="s">
        <v>374</v>
      </c>
      <c r="F132" s="2">
        <v>129</v>
      </c>
      <c r="G132" s="2">
        <v>22</v>
      </c>
      <c r="H132" s="2">
        <f t="shared" si="0"/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8D57-2214-4504-A16E-CB9A5F036677}">
  <sheetPr filterMode="1"/>
  <dimension ref="A1:F136"/>
  <sheetViews>
    <sheetView workbookViewId="0">
      <selection activeCell="A16" sqref="A16:E136"/>
    </sheetView>
  </sheetViews>
  <sheetFormatPr defaultRowHeight="15" x14ac:dyDescent="0.25"/>
  <sheetData>
    <row r="1" spans="1:6" x14ac:dyDescent="0.25">
      <c r="A1" s="7" t="s">
        <v>248</v>
      </c>
      <c r="B1" s="7" t="s">
        <v>249</v>
      </c>
      <c r="C1" s="7" t="s">
        <v>250</v>
      </c>
      <c r="D1" s="7" t="s">
        <v>251</v>
      </c>
      <c r="E1" s="7" t="s">
        <v>252</v>
      </c>
      <c r="F1" s="7" t="s">
        <v>373</v>
      </c>
    </row>
    <row r="2" spans="1:6" hidden="1" x14ac:dyDescent="0.25">
      <c r="A2" s="8" t="s">
        <v>8</v>
      </c>
      <c r="B2" s="8" t="s">
        <v>10</v>
      </c>
      <c r="C2" s="9" t="s">
        <v>253</v>
      </c>
      <c r="D2" s="9">
        <v>300</v>
      </c>
      <c r="E2" s="9">
        <v>70</v>
      </c>
      <c r="F2" t="str">
        <f>IF(COUNTIF(Foglio1!$A$2:$A$125, A2)=0, "Mancante", "Presente")</f>
        <v>Presente</v>
      </c>
    </row>
    <row r="3" spans="1:6" hidden="1" x14ac:dyDescent="0.25">
      <c r="A3" s="8" t="s">
        <v>12</v>
      </c>
      <c r="B3" s="8" t="s">
        <v>14</v>
      </c>
      <c r="C3" s="9" t="s">
        <v>254</v>
      </c>
      <c r="D3" s="9">
        <v>241</v>
      </c>
      <c r="E3" s="9">
        <v>106</v>
      </c>
      <c r="F3" t="str">
        <f>IF(COUNTIF(Foglio1!$A$2:$A$125, A3)=0, "Mancante", "Presente")</f>
        <v>Presente</v>
      </c>
    </row>
    <row r="4" spans="1:6" hidden="1" x14ac:dyDescent="0.25">
      <c r="A4" s="8" t="s">
        <v>15</v>
      </c>
      <c r="B4" s="8" t="s">
        <v>14</v>
      </c>
      <c r="C4" s="9" t="s">
        <v>16</v>
      </c>
      <c r="D4" s="9">
        <v>166.5</v>
      </c>
      <c r="E4" s="9">
        <v>32.6</v>
      </c>
      <c r="F4" t="str">
        <f>IF(COUNTIF(Foglio1!$A$2:$A$125, A4)=0, "Mancante", "Presente")</f>
        <v>Presente</v>
      </c>
    </row>
    <row r="5" spans="1:6" hidden="1" x14ac:dyDescent="0.25">
      <c r="A5" s="8" t="s">
        <v>17</v>
      </c>
      <c r="B5" s="8" t="s">
        <v>14</v>
      </c>
      <c r="C5" s="9" t="s">
        <v>255</v>
      </c>
      <c r="D5" s="9">
        <v>250</v>
      </c>
      <c r="E5" s="9">
        <v>106</v>
      </c>
      <c r="F5" t="str">
        <f>IF(COUNTIF(Foglio1!$A$2:$A$125, A5)=0, "Mancante", "Presente")</f>
        <v>Presente</v>
      </c>
    </row>
    <row r="6" spans="1:6" hidden="1" x14ac:dyDescent="0.25">
      <c r="A6" s="8" t="s">
        <v>20</v>
      </c>
      <c r="B6" s="8" t="s">
        <v>14</v>
      </c>
      <c r="C6" s="9" t="s">
        <v>256</v>
      </c>
      <c r="D6" s="9">
        <v>120</v>
      </c>
      <c r="E6" s="9">
        <v>50</v>
      </c>
      <c r="F6" t="str">
        <f>IF(COUNTIF(Foglio1!$A$2:$A$125, A6)=0, "Mancante", "Presente")</f>
        <v>Presente</v>
      </c>
    </row>
    <row r="7" spans="1:6" hidden="1" x14ac:dyDescent="0.25">
      <c r="A7" s="8" t="s">
        <v>25</v>
      </c>
      <c r="B7" s="8" t="s">
        <v>257</v>
      </c>
      <c r="C7" s="9" t="s">
        <v>258</v>
      </c>
      <c r="D7" s="10"/>
      <c r="E7" s="10"/>
      <c r="F7" t="str">
        <f>IF(COUNTIF(Foglio1!$A$2:$A$125, A7)=0, "Mancante", "Presente")</f>
        <v>Presente</v>
      </c>
    </row>
    <row r="8" spans="1:6" x14ac:dyDescent="0.25">
      <c r="A8" s="8" t="s">
        <v>259</v>
      </c>
      <c r="B8" s="8" t="s">
        <v>257</v>
      </c>
      <c r="C8" s="9" t="s">
        <v>260</v>
      </c>
      <c r="D8" s="10"/>
      <c r="E8" s="10"/>
      <c r="F8" t="str">
        <f>IF(COUNTIF(Foglio1!$A$2:$A$125, A8)=0, "Mancante", "Presente")</f>
        <v>Mancante</v>
      </c>
    </row>
    <row r="9" spans="1:6" hidden="1" x14ac:dyDescent="0.25">
      <c r="A9" s="8" t="s">
        <v>30</v>
      </c>
      <c r="B9" s="8" t="s">
        <v>257</v>
      </c>
      <c r="C9" s="9" t="s">
        <v>28</v>
      </c>
      <c r="D9" s="9">
        <v>92.5</v>
      </c>
      <c r="E9" s="9">
        <v>7</v>
      </c>
      <c r="F9" t="str">
        <f>IF(COUNTIF(Foglio1!$A$2:$A$125, A9)=0, "Mancante", "Presente")</f>
        <v>Presente</v>
      </c>
    </row>
    <row r="10" spans="1:6" hidden="1" x14ac:dyDescent="0.25">
      <c r="A10" s="8" t="s">
        <v>31</v>
      </c>
      <c r="B10" s="8" t="s">
        <v>257</v>
      </c>
      <c r="C10" s="10"/>
      <c r="D10" s="10"/>
      <c r="E10" s="10"/>
      <c r="F10" t="str">
        <f>IF(COUNTIF(Foglio1!$A$2:$A$125, A10)=0, "Mancante", "Presente")</f>
        <v>Presente</v>
      </c>
    </row>
    <row r="11" spans="1:6" x14ac:dyDescent="0.25">
      <c r="A11" s="8" t="s">
        <v>261</v>
      </c>
      <c r="B11" s="8" t="s">
        <v>257</v>
      </c>
      <c r="C11" s="9" t="s">
        <v>23</v>
      </c>
      <c r="D11" s="10"/>
      <c r="E11" s="10"/>
      <c r="F11" t="str">
        <f>IF(COUNTIF(Foglio1!$A$2:$A$125, A11)=0, "Mancante", "Presente")</f>
        <v>Mancante</v>
      </c>
    </row>
    <row r="12" spans="1:6" hidden="1" x14ac:dyDescent="0.25">
      <c r="A12" s="8" t="s">
        <v>22</v>
      </c>
      <c r="B12" s="8" t="s">
        <v>24</v>
      </c>
      <c r="C12" s="9" t="s">
        <v>262</v>
      </c>
      <c r="D12" s="9">
        <v>271.5</v>
      </c>
      <c r="E12" s="9">
        <v>20.5</v>
      </c>
      <c r="F12" t="str">
        <f>IF(COUNTIF(Foglio1!$A$2:$A$125, A12)=0, "Mancante", "Presente")</f>
        <v>Presente</v>
      </c>
    </row>
    <row r="13" spans="1:6" x14ac:dyDescent="0.25">
      <c r="A13" s="8" t="s">
        <v>263</v>
      </c>
      <c r="B13" s="8" t="s">
        <v>24</v>
      </c>
      <c r="C13" s="9" t="s">
        <v>264</v>
      </c>
      <c r="D13" s="9">
        <v>187</v>
      </c>
      <c r="E13" s="9">
        <v>204</v>
      </c>
      <c r="F13" t="str">
        <f>IF(COUNTIF(Foglio1!$A$2:$A$125, A13)=0, "Mancante", "Presente")</f>
        <v>Mancante</v>
      </c>
    </row>
    <row r="14" spans="1:6" hidden="1" x14ac:dyDescent="0.25">
      <c r="A14" s="8" t="s">
        <v>33</v>
      </c>
      <c r="B14" s="8" t="s">
        <v>24</v>
      </c>
      <c r="C14" s="9" t="s">
        <v>34</v>
      </c>
      <c r="D14" s="9">
        <v>227</v>
      </c>
      <c r="E14" s="9">
        <v>60</v>
      </c>
      <c r="F14" t="str">
        <f>IF(COUNTIF(Foglio1!$A$2:$A$125, A14)=0, "Mancante", "Presente")</f>
        <v>Presente</v>
      </c>
    </row>
    <row r="15" spans="1:6" hidden="1" x14ac:dyDescent="0.25">
      <c r="A15" s="8" t="s">
        <v>40</v>
      </c>
      <c r="B15" s="8" t="s">
        <v>42</v>
      </c>
      <c r="C15" s="9" t="s">
        <v>41</v>
      </c>
      <c r="D15" s="9">
        <v>213</v>
      </c>
      <c r="E15" s="9">
        <v>10</v>
      </c>
      <c r="F15" t="str">
        <f>IF(COUNTIF(Foglio1!$A$2:$A$125, A15)=0, "Mancante", "Presente")</f>
        <v>Presente</v>
      </c>
    </row>
    <row r="16" spans="1:6" x14ac:dyDescent="0.25">
      <c r="A16" s="8" t="s">
        <v>265</v>
      </c>
      <c r="B16" s="8" t="s">
        <v>266</v>
      </c>
      <c r="C16" s="9" t="s">
        <v>267</v>
      </c>
      <c r="D16" s="9">
        <v>85</v>
      </c>
      <c r="E16" s="9">
        <v>15</v>
      </c>
      <c r="F16" t="str">
        <f>IF(COUNTIF(Foglio1!$A$2:$A$125, A16)=0, "Mancante", "Presente")</f>
        <v>Mancante</v>
      </c>
    </row>
    <row r="17" spans="1:6" x14ac:dyDescent="0.25">
      <c r="A17" s="8" t="s">
        <v>268</v>
      </c>
      <c r="B17" s="8" t="s">
        <v>266</v>
      </c>
      <c r="C17" s="9" t="s">
        <v>267</v>
      </c>
      <c r="D17" s="9">
        <v>144</v>
      </c>
      <c r="E17" s="9">
        <v>36</v>
      </c>
      <c r="F17" t="str">
        <f>IF(COUNTIF(Foglio1!$A$2:$A$125, A17)=0, "Mancante", "Presente")</f>
        <v>Mancante</v>
      </c>
    </row>
    <row r="18" spans="1:6" hidden="1" x14ac:dyDescent="0.25">
      <c r="A18" s="8" t="s">
        <v>45</v>
      </c>
      <c r="B18" s="8" t="s">
        <v>47</v>
      </c>
      <c r="C18" s="9" t="s">
        <v>269</v>
      </c>
      <c r="D18" s="9">
        <v>190</v>
      </c>
      <c r="E18" s="9">
        <v>50</v>
      </c>
      <c r="F18" t="str">
        <f>IF(COUNTIF(Foglio1!$A$2:$A$125, A18)=0, "Mancante", "Presente")</f>
        <v>Presente</v>
      </c>
    </row>
    <row r="19" spans="1:6" hidden="1" x14ac:dyDescent="0.25">
      <c r="A19" s="8" t="s">
        <v>48</v>
      </c>
      <c r="B19" s="8" t="s">
        <v>47</v>
      </c>
      <c r="C19" s="9" t="s">
        <v>270</v>
      </c>
      <c r="D19" s="9">
        <v>75</v>
      </c>
      <c r="E19" s="9">
        <v>10</v>
      </c>
      <c r="F19" t="str">
        <f>IF(COUNTIF(Foglio1!$A$2:$A$125, A19)=0, "Mancante", "Presente")</f>
        <v>Presente</v>
      </c>
    </row>
    <row r="20" spans="1:6" hidden="1" x14ac:dyDescent="0.25">
      <c r="A20" s="8" t="s">
        <v>50</v>
      </c>
      <c r="B20" s="8" t="s">
        <v>47</v>
      </c>
      <c r="C20" s="9" t="s">
        <v>271</v>
      </c>
      <c r="D20" s="9">
        <v>151</v>
      </c>
      <c r="E20" s="9">
        <v>60</v>
      </c>
      <c r="F20" t="str">
        <f>IF(COUNTIF(Foglio1!$A$2:$A$125, A20)=0, "Mancante", "Presente")</f>
        <v>Presente</v>
      </c>
    </row>
    <row r="21" spans="1:6" hidden="1" x14ac:dyDescent="0.25">
      <c r="A21" s="8" t="s">
        <v>52</v>
      </c>
      <c r="B21" s="8" t="s">
        <v>47</v>
      </c>
      <c r="C21" s="9" t="s">
        <v>272</v>
      </c>
      <c r="D21" s="9">
        <v>153</v>
      </c>
      <c r="E21" s="9">
        <v>29</v>
      </c>
      <c r="F21" t="str">
        <f>IF(COUNTIF(Foglio1!$A$2:$A$125, A21)=0, "Mancante", "Presente")</f>
        <v>Presente</v>
      </c>
    </row>
    <row r="22" spans="1:6" hidden="1" x14ac:dyDescent="0.25">
      <c r="A22" s="8" t="s">
        <v>54</v>
      </c>
      <c r="B22" s="8" t="s">
        <v>47</v>
      </c>
      <c r="C22" s="9" t="s">
        <v>273</v>
      </c>
      <c r="D22" s="9">
        <v>97</v>
      </c>
      <c r="E22" s="9">
        <v>80</v>
      </c>
      <c r="F22" t="str">
        <f>IF(COUNTIF(Foglio1!$A$2:$A$125, A22)=0, "Mancante", "Presente")</f>
        <v>Presente</v>
      </c>
    </row>
    <row r="23" spans="1:6" hidden="1" x14ac:dyDescent="0.25">
      <c r="A23" s="8" t="s">
        <v>56</v>
      </c>
      <c r="B23" s="8" t="s">
        <v>47</v>
      </c>
      <c r="C23" s="9" t="s">
        <v>274</v>
      </c>
      <c r="D23" s="9">
        <v>160</v>
      </c>
      <c r="E23" s="9">
        <v>30</v>
      </c>
      <c r="F23" t="str">
        <f>IF(COUNTIF(Foglio1!$A$2:$A$125, A23)=0, "Mancante", "Presente")</f>
        <v>Presente</v>
      </c>
    </row>
    <row r="24" spans="1:6" hidden="1" x14ac:dyDescent="0.25">
      <c r="A24" s="8" t="s">
        <v>58</v>
      </c>
      <c r="B24" s="8" t="s">
        <v>47</v>
      </c>
      <c r="C24" s="9" t="s">
        <v>275</v>
      </c>
      <c r="D24" s="9">
        <v>120</v>
      </c>
      <c r="E24" s="9">
        <v>100</v>
      </c>
      <c r="F24" t="str">
        <f>IF(COUNTIF(Foglio1!$A$2:$A$125, A24)=0, "Mancante", "Presente")</f>
        <v>Presente</v>
      </c>
    </row>
    <row r="25" spans="1:6" hidden="1" x14ac:dyDescent="0.25">
      <c r="A25" s="8" t="s">
        <v>60</v>
      </c>
      <c r="B25" s="8" t="s">
        <v>47</v>
      </c>
      <c r="C25" s="9" t="s">
        <v>276</v>
      </c>
      <c r="D25" s="9">
        <v>110</v>
      </c>
      <c r="E25" s="9">
        <v>40</v>
      </c>
      <c r="F25" t="str">
        <f>IF(COUNTIF(Foglio1!$A$2:$A$125, A25)=0, "Mancante", "Presente")</f>
        <v>Presente</v>
      </c>
    </row>
    <row r="26" spans="1:6" hidden="1" x14ac:dyDescent="0.25">
      <c r="A26" s="8" t="s">
        <v>61</v>
      </c>
      <c r="B26" s="8" t="s">
        <v>47</v>
      </c>
      <c r="C26" s="9" t="s">
        <v>277</v>
      </c>
      <c r="D26" s="9">
        <v>90</v>
      </c>
      <c r="E26" s="9">
        <v>15</v>
      </c>
      <c r="F26" t="str">
        <f>IF(COUNTIF(Foglio1!$A$2:$A$125, A26)=0, "Mancante", "Presente")</f>
        <v>Presente</v>
      </c>
    </row>
    <row r="27" spans="1:6" hidden="1" x14ac:dyDescent="0.25">
      <c r="A27" s="8" t="s">
        <v>62</v>
      </c>
      <c r="B27" s="8" t="s">
        <v>47</v>
      </c>
      <c r="C27" s="9" t="s">
        <v>278</v>
      </c>
      <c r="D27" s="9">
        <v>160</v>
      </c>
      <c r="E27" s="9">
        <v>50</v>
      </c>
      <c r="F27" t="str">
        <f>IF(COUNTIF(Foglio1!$A$2:$A$125, A27)=0, "Mancante", "Presente")</f>
        <v>Presente</v>
      </c>
    </row>
    <row r="28" spans="1:6" hidden="1" x14ac:dyDescent="0.25">
      <c r="A28" s="8" t="s">
        <v>63</v>
      </c>
      <c r="B28" s="8" t="s">
        <v>47</v>
      </c>
      <c r="C28" s="9" t="s">
        <v>279</v>
      </c>
      <c r="D28" s="9">
        <v>130</v>
      </c>
      <c r="E28" s="9">
        <v>25</v>
      </c>
      <c r="F28" t="str">
        <f>IF(COUNTIF(Foglio1!$A$2:$A$125, A28)=0, "Mancante", "Presente")</f>
        <v>Presente</v>
      </c>
    </row>
    <row r="29" spans="1:6" hidden="1" x14ac:dyDescent="0.25">
      <c r="A29" s="8" t="s">
        <v>65</v>
      </c>
      <c r="B29" s="8" t="s">
        <v>47</v>
      </c>
      <c r="C29" s="9" t="s">
        <v>280</v>
      </c>
      <c r="D29" s="9">
        <v>190</v>
      </c>
      <c r="E29" s="9">
        <v>70</v>
      </c>
      <c r="F29" t="str">
        <f>IF(COUNTIF(Foglio1!$A$2:$A$125, A29)=0, "Mancante", "Presente")</f>
        <v>Presente</v>
      </c>
    </row>
    <row r="30" spans="1:6" hidden="1" x14ac:dyDescent="0.25">
      <c r="A30" s="8" t="s">
        <v>69</v>
      </c>
      <c r="B30" s="8" t="s">
        <v>71</v>
      </c>
      <c r="C30" s="9" t="s">
        <v>281</v>
      </c>
      <c r="D30" s="9">
        <v>323</v>
      </c>
      <c r="E30" s="9">
        <v>64</v>
      </c>
      <c r="F30" t="str">
        <f>IF(COUNTIF(Foglio1!$A$2:$A$125, A30)=0, "Mancante", "Presente")</f>
        <v>Presente</v>
      </c>
    </row>
    <row r="31" spans="1:6" hidden="1" x14ac:dyDescent="0.25">
      <c r="A31" s="8" t="s">
        <v>72</v>
      </c>
      <c r="B31" s="8" t="s">
        <v>71</v>
      </c>
      <c r="C31" s="9" t="s">
        <v>282</v>
      </c>
      <c r="D31" s="9">
        <v>160</v>
      </c>
      <c r="E31" s="9">
        <v>80</v>
      </c>
      <c r="F31" t="str">
        <f>IF(COUNTIF(Foglio1!$A$2:$A$125, A31)=0, "Mancante", "Presente")</f>
        <v>Presente</v>
      </c>
    </row>
    <row r="32" spans="1:6" hidden="1" x14ac:dyDescent="0.25">
      <c r="A32" s="8" t="s">
        <v>74</v>
      </c>
      <c r="B32" s="8" t="s">
        <v>71</v>
      </c>
      <c r="C32" s="9" t="s">
        <v>283</v>
      </c>
      <c r="D32" s="9">
        <v>120</v>
      </c>
      <c r="E32" s="9">
        <v>100</v>
      </c>
      <c r="F32" t="str">
        <f>IF(COUNTIF(Foglio1!$A$2:$A$125, A32)=0, "Mancante", "Presente")</f>
        <v>Presente</v>
      </c>
    </row>
    <row r="33" spans="1:6" hidden="1" x14ac:dyDescent="0.25">
      <c r="A33" s="8" t="s">
        <v>87</v>
      </c>
      <c r="B33" s="8" t="s">
        <v>71</v>
      </c>
      <c r="C33" s="9" t="s">
        <v>284</v>
      </c>
      <c r="D33" s="9">
        <v>158</v>
      </c>
      <c r="E33" s="9">
        <v>64</v>
      </c>
      <c r="F33" t="str">
        <f>IF(COUNTIF(Foglio1!$A$2:$A$125, A33)=0, "Mancante", "Presente")</f>
        <v>Presente</v>
      </c>
    </row>
    <row r="34" spans="1:6" hidden="1" x14ac:dyDescent="0.25">
      <c r="A34" s="8" t="s">
        <v>76</v>
      </c>
      <c r="B34" s="8" t="s">
        <v>71</v>
      </c>
      <c r="C34" s="9" t="s">
        <v>285</v>
      </c>
      <c r="D34" s="9">
        <v>275</v>
      </c>
      <c r="E34" s="9">
        <v>80</v>
      </c>
      <c r="F34" t="str">
        <f>IF(COUNTIF(Foglio1!$A$2:$A$125, A34)=0, "Mancante", "Presente")</f>
        <v>Presente</v>
      </c>
    </row>
    <row r="35" spans="1:6" hidden="1" x14ac:dyDescent="0.25">
      <c r="A35" s="8" t="s">
        <v>78</v>
      </c>
      <c r="B35" s="8" t="s">
        <v>71</v>
      </c>
      <c r="C35" s="9" t="s">
        <v>286</v>
      </c>
      <c r="D35" s="9">
        <v>190</v>
      </c>
      <c r="E35" s="9">
        <v>65</v>
      </c>
      <c r="F35" t="str">
        <f>IF(COUNTIF(Foglio1!$A$2:$A$125, A35)=0, "Mancante", "Presente")</f>
        <v>Presente</v>
      </c>
    </row>
    <row r="36" spans="1:6" hidden="1" x14ac:dyDescent="0.25">
      <c r="A36" s="8" t="s">
        <v>80</v>
      </c>
      <c r="B36" s="8" t="s">
        <v>71</v>
      </c>
      <c r="C36" s="9" t="s">
        <v>287</v>
      </c>
      <c r="D36" s="9">
        <v>182</v>
      </c>
      <c r="E36" s="9">
        <v>86</v>
      </c>
      <c r="F36" t="str">
        <f>IF(COUNTIF(Foglio1!$A$2:$A$125, A36)=0, "Mancante", "Presente")</f>
        <v>Presente</v>
      </c>
    </row>
    <row r="37" spans="1:6" hidden="1" x14ac:dyDescent="0.25">
      <c r="A37" s="8" t="s">
        <v>82</v>
      </c>
      <c r="B37" s="8" t="s">
        <v>71</v>
      </c>
      <c r="C37" s="9" t="s">
        <v>288</v>
      </c>
      <c r="D37" s="9">
        <v>100</v>
      </c>
      <c r="E37" s="9">
        <v>25</v>
      </c>
      <c r="F37" t="str">
        <f>IF(COUNTIF(Foglio1!$A$2:$A$125, A37)=0, "Mancante", "Presente")</f>
        <v>Presente</v>
      </c>
    </row>
    <row r="38" spans="1:6" hidden="1" x14ac:dyDescent="0.25">
      <c r="A38" s="8" t="s">
        <v>84</v>
      </c>
      <c r="B38" s="8" t="s">
        <v>71</v>
      </c>
      <c r="C38" s="9" t="s">
        <v>289</v>
      </c>
      <c r="D38" s="9">
        <v>255</v>
      </c>
      <c r="E38" s="9">
        <v>190</v>
      </c>
      <c r="F38" t="str">
        <f>IF(COUNTIF(Foglio1!$A$2:$A$125, A38)=0, "Mancante", "Presente")</f>
        <v>Presente</v>
      </c>
    </row>
    <row r="39" spans="1:6" hidden="1" x14ac:dyDescent="0.25">
      <c r="A39" s="8" t="s">
        <v>86</v>
      </c>
      <c r="B39" s="8" t="s">
        <v>71</v>
      </c>
      <c r="C39" s="9" t="s">
        <v>290</v>
      </c>
      <c r="D39" s="9">
        <v>185</v>
      </c>
      <c r="E39" s="9">
        <v>60</v>
      </c>
      <c r="F39" t="str">
        <f>IF(COUNTIF(Foglio1!$A$2:$A$125, A39)=0, "Mancante", "Presente")</f>
        <v>Presente</v>
      </c>
    </row>
    <row r="40" spans="1:6" hidden="1" x14ac:dyDescent="0.25">
      <c r="A40" s="8" t="s">
        <v>88</v>
      </c>
      <c r="B40" s="8" t="s">
        <v>89</v>
      </c>
      <c r="C40" s="9" t="s">
        <v>89</v>
      </c>
      <c r="D40" s="9">
        <v>360</v>
      </c>
      <c r="E40" s="9">
        <v>40</v>
      </c>
      <c r="F40" t="str">
        <f>IF(COUNTIF(Foglio1!$A$2:$A$125, A40)=0, "Mancante", "Presente")</f>
        <v>Presente</v>
      </c>
    </row>
    <row r="41" spans="1:6" hidden="1" x14ac:dyDescent="0.25">
      <c r="A41" s="8" t="s">
        <v>91</v>
      </c>
      <c r="B41" s="8" t="s">
        <v>291</v>
      </c>
      <c r="C41" s="9" t="s">
        <v>292</v>
      </c>
      <c r="D41" s="9">
        <v>125</v>
      </c>
      <c r="E41" s="9">
        <v>35</v>
      </c>
      <c r="F41" t="str">
        <f>IF(COUNTIF(Foglio1!$A$2:$A$125, A41)=0, "Mancante", "Presente")</f>
        <v>Presente</v>
      </c>
    </row>
    <row r="42" spans="1:6" hidden="1" x14ac:dyDescent="0.25">
      <c r="A42" s="8" t="s">
        <v>94</v>
      </c>
      <c r="B42" s="8" t="s">
        <v>291</v>
      </c>
      <c r="C42" s="9" t="s">
        <v>92</v>
      </c>
      <c r="D42" s="9">
        <v>200</v>
      </c>
      <c r="E42" s="9">
        <v>50</v>
      </c>
      <c r="F42" t="str">
        <f>IF(COUNTIF(Foglio1!$A$2:$A$125, A42)=0, "Mancante", "Presente")</f>
        <v>Presente</v>
      </c>
    </row>
    <row r="43" spans="1:6" hidden="1" x14ac:dyDescent="0.25">
      <c r="A43" s="8" t="s">
        <v>95</v>
      </c>
      <c r="B43" s="8" t="s">
        <v>291</v>
      </c>
      <c r="C43" s="9" t="s">
        <v>96</v>
      </c>
      <c r="D43" s="9">
        <v>90</v>
      </c>
      <c r="E43" s="9">
        <v>50</v>
      </c>
      <c r="F43" t="str">
        <f>IF(COUNTIF(Foglio1!$A$2:$A$125, A43)=0, "Mancante", "Presente")</f>
        <v>Presente</v>
      </c>
    </row>
    <row r="44" spans="1:6" hidden="1" x14ac:dyDescent="0.25">
      <c r="A44" s="8" t="s">
        <v>97</v>
      </c>
      <c r="B44" s="8" t="s">
        <v>291</v>
      </c>
      <c r="C44" s="9" t="s">
        <v>293</v>
      </c>
      <c r="D44" s="9">
        <v>114</v>
      </c>
      <c r="E44" s="9">
        <v>28</v>
      </c>
      <c r="F44" t="str">
        <f>IF(COUNTIF(Foglio1!$A$2:$A$125, A44)=0, "Mancante", "Presente")</f>
        <v>Presente</v>
      </c>
    </row>
    <row r="45" spans="1:6" hidden="1" x14ac:dyDescent="0.25">
      <c r="A45" s="8" t="s">
        <v>98</v>
      </c>
      <c r="B45" s="8" t="s">
        <v>291</v>
      </c>
      <c r="C45" s="9" t="s">
        <v>293</v>
      </c>
      <c r="D45" s="9">
        <v>85</v>
      </c>
      <c r="E45" s="9">
        <v>25</v>
      </c>
      <c r="F45" t="str">
        <f>IF(COUNTIF(Foglio1!$A$2:$A$125, A45)=0, "Mancante", "Presente")</f>
        <v>Presente</v>
      </c>
    </row>
    <row r="46" spans="1:6" hidden="1" x14ac:dyDescent="0.25">
      <c r="A46" s="8" t="s">
        <v>99</v>
      </c>
      <c r="B46" s="8" t="s">
        <v>291</v>
      </c>
      <c r="C46" s="9" t="s">
        <v>293</v>
      </c>
      <c r="D46" s="9">
        <v>239</v>
      </c>
      <c r="E46" s="9">
        <v>29</v>
      </c>
      <c r="F46" t="str">
        <f>IF(COUNTIF(Foglio1!$A$2:$A$125, A46)=0, "Mancante", "Presente")</f>
        <v>Presente</v>
      </c>
    </row>
    <row r="47" spans="1:6" hidden="1" x14ac:dyDescent="0.25">
      <c r="A47" s="8" t="s">
        <v>100</v>
      </c>
      <c r="B47" s="8" t="s">
        <v>102</v>
      </c>
      <c r="C47" s="9" t="s">
        <v>294</v>
      </c>
      <c r="D47" s="9">
        <v>201</v>
      </c>
      <c r="E47" s="9">
        <v>90</v>
      </c>
      <c r="F47" t="str">
        <f>IF(COUNTIF(Foglio1!$A$2:$A$125, A47)=0, "Mancante", "Presente")</f>
        <v>Presente</v>
      </c>
    </row>
    <row r="48" spans="1:6" hidden="1" x14ac:dyDescent="0.25">
      <c r="A48" s="8" t="s">
        <v>180</v>
      </c>
      <c r="B48" s="8" t="s">
        <v>106</v>
      </c>
      <c r="C48" s="9" t="s">
        <v>295</v>
      </c>
      <c r="D48" s="9">
        <v>90</v>
      </c>
      <c r="E48" s="9">
        <v>180</v>
      </c>
      <c r="F48" t="str">
        <f>IF(COUNTIF(Foglio1!$A$2:$A$125, A48)=0, "Mancante", "Presente")</f>
        <v>Presente</v>
      </c>
    </row>
    <row r="49" spans="1:6" hidden="1" x14ac:dyDescent="0.25">
      <c r="A49" s="8" t="s">
        <v>181</v>
      </c>
      <c r="B49" s="8" t="s">
        <v>106</v>
      </c>
      <c r="C49" s="9" t="s">
        <v>296</v>
      </c>
      <c r="D49" s="9">
        <v>120</v>
      </c>
      <c r="E49" s="9">
        <v>180</v>
      </c>
      <c r="F49" t="str">
        <f>IF(COUNTIF(Foglio1!$A$2:$A$125, A49)=0, "Mancante", "Presente")</f>
        <v>Presente</v>
      </c>
    </row>
    <row r="50" spans="1:6" hidden="1" x14ac:dyDescent="0.25">
      <c r="A50" s="8" t="s">
        <v>182</v>
      </c>
      <c r="B50" s="8" t="s">
        <v>106</v>
      </c>
      <c r="C50" s="9" t="s">
        <v>297</v>
      </c>
      <c r="D50" s="9">
        <v>60</v>
      </c>
      <c r="E50" s="9">
        <v>80</v>
      </c>
      <c r="F50" t="str">
        <f>IF(COUNTIF(Foglio1!$A$2:$A$125, A50)=0, "Mancante", "Presente")</f>
        <v>Presente</v>
      </c>
    </row>
    <row r="51" spans="1:6" hidden="1" x14ac:dyDescent="0.25">
      <c r="A51" s="8" t="s">
        <v>111</v>
      </c>
      <c r="B51" s="8" t="s">
        <v>106</v>
      </c>
      <c r="C51" s="9" t="s">
        <v>298</v>
      </c>
      <c r="D51" s="9">
        <v>60</v>
      </c>
      <c r="E51" s="9">
        <v>15</v>
      </c>
      <c r="F51" t="str">
        <f>IF(COUNTIF(Foglio1!$A$2:$A$125, A51)=0, "Mancante", "Presente")</f>
        <v>Presente</v>
      </c>
    </row>
    <row r="52" spans="1:6" hidden="1" x14ac:dyDescent="0.25">
      <c r="A52" s="8" t="s">
        <v>134</v>
      </c>
      <c r="B52" s="8" t="s">
        <v>106</v>
      </c>
      <c r="C52" s="9" t="s">
        <v>299</v>
      </c>
      <c r="D52" s="9">
        <v>140</v>
      </c>
      <c r="E52" s="9">
        <v>50</v>
      </c>
      <c r="F52" t="str">
        <f>IF(COUNTIF(Foglio1!$A$2:$A$125, A52)=0, "Mancante", "Presente")</f>
        <v>Presente</v>
      </c>
    </row>
    <row r="53" spans="1:6" hidden="1" x14ac:dyDescent="0.25">
      <c r="A53" s="8" t="s">
        <v>137</v>
      </c>
      <c r="B53" s="8" t="s">
        <v>106</v>
      </c>
      <c r="C53" s="9" t="s">
        <v>300</v>
      </c>
      <c r="D53" s="9">
        <v>150</v>
      </c>
      <c r="E53" s="9">
        <v>30</v>
      </c>
      <c r="F53" t="str">
        <f>IF(COUNTIF(Foglio1!$A$2:$A$125, A53)=0, "Mancante", "Presente")</f>
        <v>Presente</v>
      </c>
    </row>
    <row r="54" spans="1:6" hidden="1" x14ac:dyDescent="0.25">
      <c r="A54" s="8" t="s">
        <v>114</v>
      </c>
      <c r="B54" s="8" t="s">
        <v>106</v>
      </c>
      <c r="C54" s="9" t="s">
        <v>301</v>
      </c>
      <c r="D54" s="9">
        <v>70</v>
      </c>
      <c r="E54" s="9">
        <v>16</v>
      </c>
      <c r="F54" t="str">
        <f>IF(COUNTIF(Foglio1!$A$2:$A$125, A54)=0, "Mancante", "Presente")</f>
        <v>Presente</v>
      </c>
    </row>
    <row r="55" spans="1:6" hidden="1" x14ac:dyDescent="0.25">
      <c r="A55" s="8" t="s">
        <v>116</v>
      </c>
      <c r="B55" s="8" t="s">
        <v>106</v>
      </c>
      <c r="C55" s="9" t="s">
        <v>117</v>
      </c>
      <c r="D55" s="9">
        <v>70</v>
      </c>
      <c r="E55" s="9">
        <v>30</v>
      </c>
      <c r="F55" t="str">
        <f>IF(COUNTIF(Foglio1!$A$2:$A$125, A55)=0, "Mancante", "Presente")</f>
        <v>Presente</v>
      </c>
    </row>
    <row r="56" spans="1:6" hidden="1" x14ac:dyDescent="0.25">
      <c r="A56" s="8" t="s">
        <v>139</v>
      </c>
      <c r="B56" s="8" t="s">
        <v>106</v>
      </c>
      <c r="C56" s="9" t="s">
        <v>295</v>
      </c>
      <c r="D56" s="9">
        <v>300</v>
      </c>
      <c r="E56" s="9">
        <v>65</v>
      </c>
      <c r="F56" t="str">
        <f>IF(COUNTIF(Foglio1!$A$2:$A$125, A56)=0, "Mancante", "Presente")</f>
        <v>Presente</v>
      </c>
    </row>
    <row r="57" spans="1:6" hidden="1" x14ac:dyDescent="0.25">
      <c r="A57" s="8" t="s">
        <v>103</v>
      </c>
      <c r="B57" s="8" t="s">
        <v>106</v>
      </c>
      <c r="C57" s="9" t="s">
        <v>302</v>
      </c>
      <c r="D57" s="9">
        <v>196</v>
      </c>
      <c r="E57" s="9">
        <v>154</v>
      </c>
      <c r="F57" t="str">
        <f>IF(COUNTIF(Foglio1!$A$2:$A$125, A57)=0, "Mancante", "Presente")</f>
        <v>Presente</v>
      </c>
    </row>
    <row r="58" spans="1:6" hidden="1" x14ac:dyDescent="0.25">
      <c r="A58" s="8" t="s">
        <v>118</v>
      </c>
      <c r="B58" s="8" t="s">
        <v>106</v>
      </c>
      <c r="C58" s="9" t="s">
        <v>298</v>
      </c>
      <c r="D58" s="9">
        <v>185</v>
      </c>
      <c r="E58" s="9">
        <v>30</v>
      </c>
      <c r="F58" t="str">
        <f>IF(COUNTIF(Foglio1!$A$2:$A$125, A58)=0, "Mancante", "Presente")</f>
        <v>Presente</v>
      </c>
    </row>
    <row r="59" spans="1:6" hidden="1" x14ac:dyDescent="0.25">
      <c r="A59" s="8" t="s">
        <v>107</v>
      </c>
      <c r="B59" s="8" t="s">
        <v>106</v>
      </c>
      <c r="C59" s="9" t="s">
        <v>302</v>
      </c>
      <c r="D59" s="9">
        <v>120</v>
      </c>
      <c r="E59" s="9">
        <v>20</v>
      </c>
      <c r="F59" t="str">
        <f>IF(COUNTIF(Foglio1!$A$2:$A$125, A59)=0, "Mancante", "Presente")</f>
        <v>Presente</v>
      </c>
    </row>
    <row r="60" spans="1:6" hidden="1" x14ac:dyDescent="0.25">
      <c r="A60" s="8" t="s">
        <v>141</v>
      </c>
      <c r="B60" s="8" t="s">
        <v>106</v>
      </c>
      <c r="C60" s="9" t="s">
        <v>303</v>
      </c>
      <c r="D60" s="9">
        <v>283</v>
      </c>
      <c r="E60" s="9">
        <v>30</v>
      </c>
      <c r="F60" t="str">
        <f>IF(COUNTIF(Foglio1!$A$2:$A$125, A60)=0, "Mancante", "Presente")</f>
        <v>Presente</v>
      </c>
    </row>
    <row r="61" spans="1:6" hidden="1" x14ac:dyDescent="0.25">
      <c r="A61" s="8" t="s">
        <v>143</v>
      </c>
      <c r="B61" s="8" t="s">
        <v>106</v>
      </c>
      <c r="C61" s="9" t="s">
        <v>304</v>
      </c>
      <c r="D61" s="9">
        <v>80</v>
      </c>
      <c r="E61" s="9">
        <v>80</v>
      </c>
      <c r="F61" t="str">
        <f>IF(COUNTIF(Foglio1!$A$2:$A$125, A61)=0, "Mancante", "Presente")</f>
        <v>Presente</v>
      </c>
    </row>
    <row r="62" spans="1:6" hidden="1" x14ac:dyDescent="0.25">
      <c r="A62" s="8" t="s">
        <v>145</v>
      </c>
      <c r="B62" s="8" t="s">
        <v>106</v>
      </c>
      <c r="C62" s="9" t="s">
        <v>305</v>
      </c>
      <c r="D62" s="9">
        <v>90</v>
      </c>
      <c r="E62" s="9">
        <v>20</v>
      </c>
      <c r="F62" t="str">
        <f>IF(COUNTIF(Foglio1!$A$2:$A$125, A62)=0, "Mancante", "Presente")</f>
        <v>Presente</v>
      </c>
    </row>
    <row r="63" spans="1:6" hidden="1" x14ac:dyDescent="0.25">
      <c r="A63" s="8" t="s">
        <v>119</v>
      </c>
      <c r="B63" s="8" t="s">
        <v>106</v>
      </c>
      <c r="C63" s="9" t="s">
        <v>306</v>
      </c>
      <c r="D63" s="9">
        <v>100</v>
      </c>
      <c r="E63" s="9">
        <v>20</v>
      </c>
      <c r="F63" t="str">
        <f>IF(COUNTIF(Foglio1!$A$2:$A$125, A63)=0, "Mancante", "Presente")</f>
        <v>Presente</v>
      </c>
    </row>
    <row r="64" spans="1:6" hidden="1" x14ac:dyDescent="0.25">
      <c r="A64" s="8" t="s">
        <v>147</v>
      </c>
      <c r="B64" s="8" t="s">
        <v>106</v>
      </c>
      <c r="C64" s="9" t="s">
        <v>307</v>
      </c>
      <c r="D64" s="9">
        <v>200</v>
      </c>
      <c r="E64" s="9">
        <v>20</v>
      </c>
      <c r="F64" t="str">
        <f>IF(COUNTIF(Foglio1!$A$2:$A$125, A64)=0, "Mancante", "Presente")</f>
        <v>Presente</v>
      </c>
    </row>
    <row r="65" spans="1:6" hidden="1" x14ac:dyDescent="0.25">
      <c r="A65" s="8" t="s">
        <v>149</v>
      </c>
      <c r="B65" s="8" t="s">
        <v>106</v>
      </c>
      <c r="C65" s="9" t="s">
        <v>308</v>
      </c>
      <c r="D65" s="9">
        <v>190</v>
      </c>
      <c r="E65" s="9">
        <v>20</v>
      </c>
      <c r="F65" t="str">
        <f>IF(COUNTIF(Foglio1!$A$2:$A$125, A65)=0, "Mancante", "Presente")</f>
        <v>Presente</v>
      </c>
    </row>
    <row r="66" spans="1:6" hidden="1" x14ac:dyDescent="0.25">
      <c r="A66" s="8" t="s">
        <v>151</v>
      </c>
      <c r="B66" s="8" t="s">
        <v>106</v>
      </c>
      <c r="C66" s="9" t="s">
        <v>309</v>
      </c>
      <c r="D66" s="9">
        <v>170</v>
      </c>
      <c r="E66" s="9">
        <v>30</v>
      </c>
      <c r="F66" t="str">
        <f>IF(COUNTIF(Foglio1!$A$2:$A$125, A66)=0, "Mancante", "Presente")</f>
        <v>Presente</v>
      </c>
    </row>
    <row r="67" spans="1:6" hidden="1" x14ac:dyDescent="0.25">
      <c r="A67" s="8" t="s">
        <v>153</v>
      </c>
      <c r="B67" s="8" t="s">
        <v>106</v>
      </c>
      <c r="C67" s="9" t="s">
        <v>310</v>
      </c>
      <c r="D67" s="9">
        <v>150</v>
      </c>
      <c r="E67" s="9">
        <v>15</v>
      </c>
      <c r="F67" t="str">
        <f>IF(COUNTIF(Foglio1!$A$2:$A$125, A67)=0, "Mancante", "Presente")</f>
        <v>Presente</v>
      </c>
    </row>
    <row r="68" spans="1:6" hidden="1" x14ac:dyDescent="0.25">
      <c r="A68" s="8" t="s">
        <v>155</v>
      </c>
      <c r="B68" s="8" t="s">
        <v>106</v>
      </c>
      <c r="C68" s="9" t="s">
        <v>311</v>
      </c>
      <c r="D68" s="9">
        <v>120</v>
      </c>
      <c r="E68" s="9">
        <v>30</v>
      </c>
      <c r="F68" t="str">
        <f>IF(COUNTIF(Foglio1!$A$2:$A$125, A68)=0, "Mancante", "Presente")</f>
        <v>Presente</v>
      </c>
    </row>
    <row r="69" spans="1:6" hidden="1" x14ac:dyDescent="0.25">
      <c r="A69" s="8" t="s">
        <v>121</v>
      </c>
      <c r="B69" s="8" t="s">
        <v>106</v>
      </c>
      <c r="C69" s="9" t="s">
        <v>312</v>
      </c>
      <c r="D69" s="9">
        <v>47</v>
      </c>
      <c r="E69" s="9">
        <v>8</v>
      </c>
      <c r="F69" t="str">
        <f>IF(COUNTIF(Foglio1!$A$2:$A$125, A69)=0, "Mancante", "Presente")</f>
        <v>Presente</v>
      </c>
    </row>
    <row r="70" spans="1:6" hidden="1" x14ac:dyDescent="0.25">
      <c r="A70" s="8" t="s">
        <v>157</v>
      </c>
      <c r="B70" s="8" t="s">
        <v>106</v>
      </c>
      <c r="C70" s="9" t="s">
        <v>313</v>
      </c>
      <c r="D70" s="9">
        <v>222</v>
      </c>
      <c r="E70" s="9">
        <v>20</v>
      </c>
      <c r="F70" t="str">
        <f>IF(COUNTIF(Foglio1!$A$2:$A$125, A70)=0, "Mancante", "Presente")</f>
        <v>Presente</v>
      </c>
    </row>
    <row r="71" spans="1:6" hidden="1" x14ac:dyDescent="0.25">
      <c r="A71" s="8" t="s">
        <v>159</v>
      </c>
      <c r="B71" s="8" t="s">
        <v>106</v>
      </c>
      <c r="C71" s="9" t="s">
        <v>314</v>
      </c>
      <c r="D71" s="9">
        <v>257</v>
      </c>
      <c r="E71" s="9">
        <v>45</v>
      </c>
      <c r="F71" t="str">
        <f>IF(COUNTIF(Foglio1!$A$2:$A$125, A71)=0, "Mancante", "Presente")</f>
        <v>Presente</v>
      </c>
    </row>
    <row r="72" spans="1:6" hidden="1" x14ac:dyDescent="0.25">
      <c r="A72" s="8" t="s">
        <v>123</v>
      </c>
      <c r="B72" s="8" t="s">
        <v>106</v>
      </c>
      <c r="C72" s="9" t="s">
        <v>315</v>
      </c>
      <c r="D72" s="9">
        <v>90</v>
      </c>
      <c r="E72" s="9">
        <v>30</v>
      </c>
      <c r="F72" t="str">
        <f>IF(COUNTIF(Foglio1!$A$2:$A$125, A72)=0, "Mancante", "Presente")</f>
        <v>Presente</v>
      </c>
    </row>
    <row r="73" spans="1:6" hidden="1" x14ac:dyDescent="0.25">
      <c r="A73" s="8" t="s">
        <v>125</v>
      </c>
      <c r="B73" s="8" t="s">
        <v>106</v>
      </c>
      <c r="C73" s="9" t="s">
        <v>316</v>
      </c>
      <c r="D73" s="9">
        <v>100</v>
      </c>
      <c r="E73" s="9">
        <v>25</v>
      </c>
      <c r="F73" t="str">
        <f>IF(COUNTIF(Foglio1!$A$2:$A$125, A73)=0, "Mancante", "Presente")</f>
        <v>Presente</v>
      </c>
    </row>
    <row r="74" spans="1:6" hidden="1" x14ac:dyDescent="0.25">
      <c r="A74" s="8" t="s">
        <v>161</v>
      </c>
      <c r="B74" s="8" t="s">
        <v>106</v>
      </c>
      <c r="C74" s="9" t="s">
        <v>317</v>
      </c>
      <c r="D74" s="9">
        <v>110</v>
      </c>
      <c r="E74" s="9">
        <v>60</v>
      </c>
      <c r="F74" t="str">
        <f>IF(COUNTIF(Foglio1!$A$2:$A$125, A74)=0, "Mancante", "Presente")</f>
        <v>Presente</v>
      </c>
    </row>
    <row r="75" spans="1:6" hidden="1" x14ac:dyDescent="0.25">
      <c r="A75" s="8" t="s">
        <v>163</v>
      </c>
      <c r="B75" s="8" t="s">
        <v>106</v>
      </c>
      <c r="C75" s="9" t="s">
        <v>318</v>
      </c>
      <c r="D75" s="9">
        <v>163</v>
      </c>
      <c r="E75" s="9">
        <v>80</v>
      </c>
      <c r="F75" t="str">
        <f>IF(COUNTIF(Foglio1!$A$2:$A$125, A75)=0, "Mancante", "Presente")</f>
        <v>Presente</v>
      </c>
    </row>
    <row r="76" spans="1:6" hidden="1" x14ac:dyDescent="0.25">
      <c r="A76" s="8" t="s">
        <v>165</v>
      </c>
      <c r="B76" s="8" t="s">
        <v>106</v>
      </c>
      <c r="C76" s="9" t="s">
        <v>319</v>
      </c>
      <c r="D76" s="9">
        <v>50</v>
      </c>
      <c r="E76" s="9">
        <v>6</v>
      </c>
      <c r="F76" t="str">
        <f>IF(COUNTIF(Foglio1!$A$2:$A$125, A76)=0, "Mancante", "Presente")</f>
        <v>Presente</v>
      </c>
    </row>
    <row r="77" spans="1:6" hidden="1" x14ac:dyDescent="0.25">
      <c r="A77" s="8" t="s">
        <v>127</v>
      </c>
      <c r="B77" s="8" t="s">
        <v>106</v>
      </c>
      <c r="C77" s="9" t="s">
        <v>320</v>
      </c>
      <c r="D77" s="9">
        <v>190</v>
      </c>
      <c r="E77" s="9">
        <v>20</v>
      </c>
      <c r="F77" t="str">
        <f>IF(COUNTIF(Foglio1!$A$2:$A$125, A77)=0, "Mancante", "Presente")</f>
        <v>Presente</v>
      </c>
    </row>
    <row r="78" spans="1:6" hidden="1" x14ac:dyDescent="0.25">
      <c r="A78" s="8" t="s">
        <v>167</v>
      </c>
      <c r="B78" s="8" t="s">
        <v>106</v>
      </c>
      <c r="C78" s="9" t="s">
        <v>321</v>
      </c>
      <c r="D78" s="9">
        <v>72</v>
      </c>
      <c r="E78" s="9">
        <v>8</v>
      </c>
      <c r="F78" t="str">
        <f>IF(COUNTIF(Foglio1!$A$2:$A$125, A78)=0, "Mancante", "Presente")</f>
        <v>Presente</v>
      </c>
    </row>
    <row r="79" spans="1:6" hidden="1" x14ac:dyDescent="0.25">
      <c r="A79" s="8" t="s">
        <v>108</v>
      </c>
      <c r="B79" s="8" t="s">
        <v>106</v>
      </c>
      <c r="C79" s="9" t="s">
        <v>302</v>
      </c>
      <c r="D79" s="9">
        <v>120</v>
      </c>
      <c r="E79" s="9">
        <v>60</v>
      </c>
      <c r="F79" t="str">
        <f>IF(COUNTIF(Foglio1!$A$2:$A$125, A79)=0, "Mancante", "Presente")</f>
        <v>Presente</v>
      </c>
    </row>
    <row r="80" spans="1:6" hidden="1" x14ac:dyDescent="0.25">
      <c r="A80" s="8" t="s">
        <v>129</v>
      </c>
      <c r="B80" s="8" t="s">
        <v>106</v>
      </c>
      <c r="C80" s="9" t="s">
        <v>298</v>
      </c>
      <c r="D80" s="9">
        <v>142</v>
      </c>
      <c r="E80" s="9">
        <v>25</v>
      </c>
      <c r="F80" t="str">
        <f>IF(COUNTIF(Foglio1!$A$2:$A$125, A80)=0, "Mancante", "Presente")</f>
        <v>Presente</v>
      </c>
    </row>
    <row r="81" spans="1:6" hidden="1" x14ac:dyDescent="0.25">
      <c r="A81" s="8" t="s">
        <v>109</v>
      </c>
      <c r="B81" s="8" t="s">
        <v>106</v>
      </c>
      <c r="C81" s="9" t="s">
        <v>302</v>
      </c>
      <c r="D81" s="9">
        <v>120</v>
      </c>
      <c r="E81" s="9">
        <v>70</v>
      </c>
      <c r="F81" t="str">
        <f>IF(COUNTIF(Foglio1!$A$2:$A$125, A81)=0, "Mancante", "Presente")</f>
        <v>Presente</v>
      </c>
    </row>
    <row r="82" spans="1:6" hidden="1" x14ac:dyDescent="0.25">
      <c r="A82" s="8" t="s">
        <v>130</v>
      </c>
      <c r="B82" s="8" t="s">
        <v>106</v>
      </c>
      <c r="C82" s="9" t="s">
        <v>322</v>
      </c>
      <c r="D82" s="9">
        <v>87</v>
      </c>
      <c r="E82" s="9">
        <v>70</v>
      </c>
      <c r="F82" t="str">
        <f>IF(COUNTIF(Foglio1!$A$2:$A$125, A82)=0, "Mancante", "Presente")</f>
        <v>Presente</v>
      </c>
    </row>
    <row r="83" spans="1:6" hidden="1" x14ac:dyDescent="0.25">
      <c r="A83" s="8" t="s">
        <v>110</v>
      </c>
      <c r="B83" s="8" t="s">
        <v>106</v>
      </c>
      <c r="C83" s="9" t="s">
        <v>302</v>
      </c>
      <c r="D83" s="9">
        <v>225</v>
      </c>
      <c r="E83" s="9">
        <v>120</v>
      </c>
      <c r="F83" t="str">
        <f>IF(COUNTIF(Foglio1!$A$2:$A$125, A83)=0, "Mancante", "Presente")</f>
        <v>Presente</v>
      </c>
    </row>
    <row r="84" spans="1:6" hidden="1" x14ac:dyDescent="0.25">
      <c r="A84" s="8" t="s">
        <v>169</v>
      </c>
      <c r="B84" s="8" t="s">
        <v>106</v>
      </c>
      <c r="C84" s="9" t="s">
        <v>295</v>
      </c>
      <c r="D84" s="9">
        <v>250</v>
      </c>
      <c r="E84" s="9">
        <v>50</v>
      </c>
      <c r="F84" t="str">
        <f>IF(COUNTIF(Foglio1!$A$2:$A$125, A84)=0, "Mancante", "Presente")</f>
        <v>Presente</v>
      </c>
    </row>
    <row r="85" spans="1:6" hidden="1" x14ac:dyDescent="0.25">
      <c r="A85" s="8" t="s">
        <v>132</v>
      </c>
      <c r="B85" s="8" t="s">
        <v>106</v>
      </c>
      <c r="C85" s="9" t="s">
        <v>323</v>
      </c>
      <c r="D85" s="9">
        <v>105</v>
      </c>
      <c r="E85" s="9">
        <v>25</v>
      </c>
      <c r="F85" t="str">
        <f>IF(COUNTIF(Foglio1!$A$2:$A$125, A85)=0, "Mancante", "Presente")</f>
        <v>Presente</v>
      </c>
    </row>
    <row r="86" spans="1:6" hidden="1" x14ac:dyDescent="0.25">
      <c r="A86" s="8" t="s">
        <v>170</v>
      </c>
      <c r="B86" s="8" t="s">
        <v>106</v>
      </c>
      <c r="C86" s="9" t="s">
        <v>296</v>
      </c>
      <c r="D86" s="9">
        <v>170</v>
      </c>
      <c r="E86" s="9">
        <v>30</v>
      </c>
      <c r="F86" t="str">
        <f>IF(COUNTIF(Foglio1!$A$2:$A$125, A86)=0, "Mancante", "Presente")</f>
        <v>Presente</v>
      </c>
    </row>
    <row r="87" spans="1:6" hidden="1" x14ac:dyDescent="0.25">
      <c r="A87" s="8" t="s">
        <v>172</v>
      </c>
      <c r="B87" s="8" t="s">
        <v>106</v>
      </c>
      <c r="C87" s="9" t="s">
        <v>324</v>
      </c>
      <c r="D87" s="9">
        <v>200</v>
      </c>
      <c r="E87" s="9">
        <v>50</v>
      </c>
      <c r="F87" t="str">
        <f>IF(COUNTIF(Foglio1!$A$2:$A$125, A87)=0, "Mancante", "Presente")</f>
        <v>Presente</v>
      </c>
    </row>
    <row r="88" spans="1:6" hidden="1" x14ac:dyDescent="0.25">
      <c r="A88" s="8" t="s">
        <v>174</v>
      </c>
      <c r="B88" s="8" t="s">
        <v>106</v>
      </c>
      <c r="C88" s="9" t="s">
        <v>325</v>
      </c>
      <c r="D88" s="9">
        <v>48</v>
      </c>
      <c r="E88" s="9">
        <v>10</v>
      </c>
      <c r="F88" t="str">
        <f>IF(COUNTIF(Foglio1!$A$2:$A$125, A88)=0, "Mancante", "Presente")</f>
        <v>Presente</v>
      </c>
    </row>
    <row r="89" spans="1:6" hidden="1" x14ac:dyDescent="0.25">
      <c r="A89" s="8" t="s">
        <v>176</v>
      </c>
      <c r="B89" s="8" t="s">
        <v>106</v>
      </c>
      <c r="C89" s="9" t="s">
        <v>326</v>
      </c>
      <c r="D89" s="9">
        <v>191</v>
      </c>
      <c r="E89" s="9">
        <v>60</v>
      </c>
      <c r="F89" t="str">
        <f>IF(COUNTIF(Foglio1!$A$2:$A$125, A89)=0, "Mancante", "Presente")</f>
        <v>Presente</v>
      </c>
    </row>
    <row r="90" spans="1:6" hidden="1" x14ac:dyDescent="0.25">
      <c r="A90" s="8" t="s">
        <v>178</v>
      </c>
      <c r="B90" s="8" t="s">
        <v>106</v>
      </c>
      <c r="C90" s="9" t="s">
        <v>327</v>
      </c>
      <c r="D90" s="9">
        <v>92</v>
      </c>
      <c r="E90" s="9">
        <v>188</v>
      </c>
      <c r="F90" t="str">
        <f>IF(COUNTIF(Foglio1!$A$2:$A$125, A90)=0, "Mancante", "Presente")</f>
        <v>Presente</v>
      </c>
    </row>
    <row r="91" spans="1:6" hidden="1" x14ac:dyDescent="0.25">
      <c r="A91" s="8" t="s">
        <v>183</v>
      </c>
      <c r="B91" s="8" t="s">
        <v>184</v>
      </c>
      <c r="C91" s="9" t="s">
        <v>184</v>
      </c>
      <c r="D91" s="9">
        <v>150</v>
      </c>
      <c r="E91" s="9">
        <v>25</v>
      </c>
      <c r="F91" t="str">
        <f>IF(COUNTIF(Foglio1!$A$2:$A$125, A91)=0, "Mancante", "Presente")</f>
        <v>Presente</v>
      </c>
    </row>
    <row r="92" spans="1:6" hidden="1" x14ac:dyDescent="0.25">
      <c r="A92" s="8" t="s">
        <v>187</v>
      </c>
      <c r="B92" s="8" t="s">
        <v>328</v>
      </c>
      <c r="C92" s="9" t="s">
        <v>329</v>
      </c>
      <c r="D92" s="9">
        <v>239</v>
      </c>
      <c r="E92" s="9">
        <v>19</v>
      </c>
      <c r="F92" t="str">
        <f>IF(COUNTIF(Foglio1!$A$2:$A$125, A92)=0, "Mancante", "Presente")</f>
        <v>Presente</v>
      </c>
    </row>
    <row r="93" spans="1:6" hidden="1" x14ac:dyDescent="0.25">
      <c r="A93" s="8" t="s">
        <v>190</v>
      </c>
      <c r="B93" s="8" t="s">
        <v>192</v>
      </c>
      <c r="C93" s="9" t="s">
        <v>330</v>
      </c>
      <c r="D93" s="9">
        <v>120</v>
      </c>
      <c r="E93" s="9">
        <v>80</v>
      </c>
      <c r="F93" t="str">
        <f>IF(COUNTIF(Foglio1!$A$2:$A$125, A93)=0, "Mancante", "Presente")</f>
        <v>Presente</v>
      </c>
    </row>
    <row r="94" spans="1:6" hidden="1" x14ac:dyDescent="0.25">
      <c r="A94" s="8" t="s">
        <v>193</v>
      </c>
      <c r="B94" s="8" t="s">
        <v>331</v>
      </c>
      <c r="C94" s="9" t="s">
        <v>332</v>
      </c>
      <c r="D94" s="9">
        <v>210</v>
      </c>
      <c r="E94" s="9">
        <v>115</v>
      </c>
      <c r="F94" t="str">
        <f>IF(COUNTIF(Foglio1!$A$2:$A$125, A94)=0, "Mancante", "Presente")</f>
        <v>Presente</v>
      </c>
    </row>
    <row r="95" spans="1:6" hidden="1" x14ac:dyDescent="0.25">
      <c r="A95" s="8" t="s">
        <v>195</v>
      </c>
      <c r="B95" s="8" t="s">
        <v>192</v>
      </c>
      <c r="C95" s="9" t="s">
        <v>333</v>
      </c>
      <c r="D95" s="9">
        <v>104</v>
      </c>
      <c r="E95" s="9">
        <v>80</v>
      </c>
      <c r="F95" t="str">
        <f>IF(COUNTIF(Foglio1!$A$2:$A$125, A95)=0, "Mancante", "Presente")</f>
        <v>Presente</v>
      </c>
    </row>
    <row r="96" spans="1:6" hidden="1" x14ac:dyDescent="0.25">
      <c r="A96" s="8" t="s">
        <v>196</v>
      </c>
      <c r="B96" s="8" t="s">
        <v>192</v>
      </c>
      <c r="C96" s="9" t="s">
        <v>334</v>
      </c>
      <c r="D96" s="9">
        <v>90</v>
      </c>
      <c r="E96" s="10"/>
      <c r="F96" t="str">
        <f>IF(COUNTIF(Foglio1!$A$2:$A$125, A96)=0, "Mancante", "Presente")</f>
        <v>Presente</v>
      </c>
    </row>
    <row r="97" spans="1:6" hidden="1" x14ac:dyDescent="0.25">
      <c r="A97" s="8" t="s">
        <v>198</v>
      </c>
      <c r="B97" s="8" t="s">
        <v>192</v>
      </c>
      <c r="C97" s="9" t="s">
        <v>335</v>
      </c>
      <c r="D97" s="9">
        <v>97</v>
      </c>
      <c r="E97" s="9">
        <v>60</v>
      </c>
      <c r="F97" t="str">
        <f>IF(COUNTIF(Foglio1!$A$2:$A$125, A97)=0, "Mancante", "Presente")</f>
        <v>Presente</v>
      </c>
    </row>
    <row r="98" spans="1:6" x14ac:dyDescent="0.25">
      <c r="A98" s="8" t="s">
        <v>336</v>
      </c>
      <c r="B98" s="8" t="s">
        <v>337</v>
      </c>
      <c r="C98" s="9" t="s">
        <v>337</v>
      </c>
      <c r="D98" s="9">
        <v>100</v>
      </c>
      <c r="E98" s="9">
        <v>24</v>
      </c>
      <c r="F98" t="str">
        <f>IF(COUNTIF(Foglio1!$A$2:$A$125, A98)=0, "Mancante", "Presente")</f>
        <v>Mancante</v>
      </c>
    </row>
    <row r="99" spans="1:6" hidden="1" x14ac:dyDescent="0.25">
      <c r="A99" s="8" t="s">
        <v>203</v>
      </c>
      <c r="B99" s="8" t="s">
        <v>202</v>
      </c>
      <c r="C99" s="9" t="s">
        <v>338</v>
      </c>
      <c r="D99" s="9">
        <v>114.4</v>
      </c>
      <c r="E99" s="9">
        <v>15.4</v>
      </c>
      <c r="F99" t="str">
        <f>IF(COUNTIF(Foglio1!$A$2:$A$125, A99)=0, "Mancante", "Presente")</f>
        <v>Presente</v>
      </c>
    </row>
    <row r="100" spans="1:6" hidden="1" x14ac:dyDescent="0.25">
      <c r="A100" s="8" t="s">
        <v>205</v>
      </c>
      <c r="B100" s="8" t="s">
        <v>202</v>
      </c>
      <c r="C100" s="9" t="s">
        <v>339</v>
      </c>
      <c r="D100" s="9">
        <v>93.64</v>
      </c>
      <c r="E100" s="9">
        <v>14.38</v>
      </c>
      <c r="F100" t="str">
        <f>IF(COUNTIF(Foglio1!$A$2:$A$125, A100)=0, "Mancante", "Presente")</f>
        <v>Presente</v>
      </c>
    </row>
    <row r="101" spans="1:6" hidden="1" x14ac:dyDescent="0.25">
      <c r="A101" s="8" t="s">
        <v>207</v>
      </c>
      <c r="B101" s="8" t="s">
        <v>202</v>
      </c>
      <c r="C101" s="9" t="s">
        <v>340</v>
      </c>
      <c r="D101" s="9">
        <v>191</v>
      </c>
      <c r="E101" s="9">
        <v>95</v>
      </c>
      <c r="F101" t="str">
        <f>IF(COUNTIF(Foglio1!$A$2:$A$125, A101)=0, "Mancante", "Presente")</f>
        <v>Presente</v>
      </c>
    </row>
    <row r="102" spans="1:6" hidden="1" x14ac:dyDescent="0.25">
      <c r="A102" s="8" t="s">
        <v>208</v>
      </c>
      <c r="B102" s="8" t="s">
        <v>202</v>
      </c>
      <c r="C102" s="9" t="s">
        <v>341</v>
      </c>
      <c r="D102" s="9">
        <v>57</v>
      </c>
      <c r="E102" s="9">
        <v>6</v>
      </c>
      <c r="F102" t="str">
        <f>IF(COUNTIF(Foglio1!$A$2:$A$125, A102)=0, "Mancante", "Presente")</f>
        <v>Presente</v>
      </c>
    </row>
    <row r="103" spans="1:6" hidden="1" x14ac:dyDescent="0.25">
      <c r="A103" s="8" t="s">
        <v>210</v>
      </c>
      <c r="B103" s="8" t="s">
        <v>202</v>
      </c>
      <c r="C103" s="9" t="s">
        <v>342</v>
      </c>
      <c r="D103" s="9">
        <v>99</v>
      </c>
      <c r="E103" s="9">
        <v>15</v>
      </c>
      <c r="F103" t="str">
        <f>IF(COUNTIF(Foglio1!$A$2:$A$125, A103)=0, "Mancante", "Presente")</f>
        <v>Presente</v>
      </c>
    </row>
    <row r="104" spans="1:6" hidden="1" x14ac:dyDescent="0.25">
      <c r="A104" s="8" t="s">
        <v>211</v>
      </c>
      <c r="B104" s="8" t="s">
        <v>202</v>
      </c>
      <c r="C104" s="9" t="s">
        <v>343</v>
      </c>
      <c r="D104" s="9">
        <v>150</v>
      </c>
      <c r="E104" s="9">
        <v>34</v>
      </c>
      <c r="F104" t="str">
        <f>IF(COUNTIF(Foglio1!$A$2:$A$125, A104)=0, "Mancante", "Presente")</f>
        <v>Presente</v>
      </c>
    </row>
    <row r="105" spans="1:6" hidden="1" x14ac:dyDescent="0.25">
      <c r="A105" s="8" t="s">
        <v>213</v>
      </c>
      <c r="B105" s="8" t="s">
        <v>202</v>
      </c>
      <c r="C105" s="9" t="s">
        <v>344</v>
      </c>
      <c r="D105" s="9">
        <v>86</v>
      </c>
      <c r="E105" s="9">
        <v>8</v>
      </c>
      <c r="F105" t="str">
        <f>IF(COUNTIF(Foglio1!$A$2:$A$125, A105)=0, "Mancante", "Presente")</f>
        <v>Presente</v>
      </c>
    </row>
    <row r="106" spans="1:6" hidden="1" x14ac:dyDescent="0.25">
      <c r="A106" s="8" t="s">
        <v>214</v>
      </c>
      <c r="B106" s="8" t="s">
        <v>202</v>
      </c>
      <c r="C106" s="9" t="s">
        <v>345</v>
      </c>
      <c r="D106" s="9">
        <v>168</v>
      </c>
      <c r="E106" s="9">
        <v>40</v>
      </c>
      <c r="F106" t="str">
        <f>IF(COUNTIF(Foglio1!$A$2:$A$125, A106)=0, "Mancante", "Presente")</f>
        <v>Presente</v>
      </c>
    </row>
    <row r="107" spans="1:6" hidden="1" x14ac:dyDescent="0.25">
      <c r="A107" s="8" t="s">
        <v>216</v>
      </c>
      <c r="B107" s="8" t="s">
        <v>202</v>
      </c>
      <c r="C107" s="9" t="s">
        <v>346</v>
      </c>
      <c r="D107" s="9">
        <v>99</v>
      </c>
      <c r="E107" s="9">
        <v>21</v>
      </c>
      <c r="F107" t="str">
        <f>IF(COUNTIF(Foglio1!$A$2:$A$125, A107)=0, "Mancante", "Presente")</f>
        <v>Presente</v>
      </c>
    </row>
    <row r="108" spans="1:6" hidden="1" x14ac:dyDescent="0.25">
      <c r="A108" s="8" t="s">
        <v>219</v>
      </c>
      <c r="B108" s="8" t="s">
        <v>202</v>
      </c>
      <c r="C108" s="9" t="s">
        <v>347</v>
      </c>
      <c r="D108" s="9">
        <v>120</v>
      </c>
      <c r="E108" s="9">
        <v>90</v>
      </c>
      <c r="F108" t="str">
        <f>IF(COUNTIF(Foglio1!$A$2:$A$125, A108)=0, "Mancante", "Presente")</f>
        <v>Presente</v>
      </c>
    </row>
    <row r="109" spans="1:6" hidden="1" x14ac:dyDescent="0.25">
      <c r="A109" s="8" t="s">
        <v>221</v>
      </c>
      <c r="B109" s="8" t="s">
        <v>202</v>
      </c>
      <c r="C109" s="9" t="s">
        <v>348</v>
      </c>
      <c r="D109" s="9">
        <v>80</v>
      </c>
      <c r="E109" s="9">
        <v>9</v>
      </c>
      <c r="F109" t="str">
        <f>IF(COUNTIF(Foglio1!$A$2:$A$125, A109)=0, "Mancante", "Presente")</f>
        <v>Presente</v>
      </c>
    </row>
    <row r="110" spans="1:6" hidden="1" x14ac:dyDescent="0.25">
      <c r="A110" s="8" t="s">
        <v>223</v>
      </c>
      <c r="B110" s="8" t="s">
        <v>202</v>
      </c>
      <c r="C110" s="9" t="s">
        <v>224</v>
      </c>
      <c r="D110" s="9">
        <v>30</v>
      </c>
      <c r="E110" s="9">
        <v>20</v>
      </c>
      <c r="F110" t="str">
        <f>IF(COUNTIF(Foglio1!$A$2:$A$125, A110)=0, "Mancante", "Presente")</f>
        <v>Presente</v>
      </c>
    </row>
    <row r="111" spans="1:6" hidden="1" x14ac:dyDescent="0.25">
      <c r="A111" s="8" t="s">
        <v>225</v>
      </c>
      <c r="B111" s="8" t="s">
        <v>202</v>
      </c>
      <c r="C111" s="9" t="s">
        <v>349</v>
      </c>
      <c r="D111" s="9">
        <v>118.61</v>
      </c>
      <c r="E111" s="9">
        <v>122.04</v>
      </c>
      <c r="F111" t="str">
        <f>IF(COUNTIF(Foglio1!$A$2:$A$125, A111)=0, "Mancante", "Presente")</f>
        <v>Presente</v>
      </c>
    </row>
    <row r="112" spans="1:6" hidden="1" x14ac:dyDescent="0.25">
      <c r="A112" s="8" t="s">
        <v>226</v>
      </c>
      <c r="B112" s="8" t="s">
        <v>202</v>
      </c>
      <c r="C112" s="9" t="s">
        <v>350</v>
      </c>
      <c r="D112" s="9">
        <v>70.400000000000006</v>
      </c>
      <c r="E112" s="9">
        <v>65.7</v>
      </c>
      <c r="F112" t="str">
        <f>IF(COUNTIF(Foglio1!$A$2:$A$125, A112)=0, "Mancante", "Presente")</f>
        <v>Presente</v>
      </c>
    </row>
    <row r="113" spans="1:6" hidden="1" x14ac:dyDescent="0.25">
      <c r="A113" s="8" t="s">
        <v>227</v>
      </c>
      <c r="B113" s="8" t="s">
        <v>202</v>
      </c>
      <c r="C113" s="9" t="s">
        <v>351</v>
      </c>
      <c r="D113" s="9">
        <v>95.4</v>
      </c>
      <c r="E113" s="9">
        <v>52.58</v>
      </c>
      <c r="F113" t="str">
        <f>IF(COUNTIF(Foglio1!$A$2:$A$125, A113)=0, "Mancante", "Presente")</f>
        <v>Presente</v>
      </c>
    </row>
    <row r="114" spans="1:6" hidden="1" x14ac:dyDescent="0.25">
      <c r="A114" s="8" t="s">
        <v>200</v>
      </c>
      <c r="B114" s="8" t="s">
        <v>202</v>
      </c>
      <c r="C114" s="9" t="s">
        <v>352</v>
      </c>
      <c r="D114" s="9">
        <v>102.4</v>
      </c>
      <c r="E114" s="9">
        <v>10.3</v>
      </c>
      <c r="F114" t="str">
        <f>IF(COUNTIF(Foglio1!$A$2:$A$125, A114)=0, "Mancante", "Presente")</f>
        <v>Presente</v>
      </c>
    </row>
    <row r="115" spans="1:6" hidden="1" x14ac:dyDescent="0.25">
      <c r="A115" s="8" t="s">
        <v>234</v>
      </c>
      <c r="B115" s="8" t="s">
        <v>236</v>
      </c>
      <c r="C115" s="9" t="s">
        <v>353</v>
      </c>
      <c r="D115" s="9">
        <v>400</v>
      </c>
      <c r="E115" s="9">
        <v>77</v>
      </c>
      <c r="F115" t="str">
        <f>IF(COUNTIF(Foglio1!$A$2:$A$125, A115)=0, "Mancante", "Presente")</f>
        <v>Presente</v>
      </c>
    </row>
    <row r="116" spans="1:6" hidden="1" x14ac:dyDescent="0.25">
      <c r="A116" s="8" t="s">
        <v>237</v>
      </c>
      <c r="B116" s="8" t="s">
        <v>236</v>
      </c>
      <c r="C116" s="9" t="s">
        <v>238</v>
      </c>
      <c r="D116" s="9">
        <v>120</v>
      </c>
      <c r="E116" s="9">
        <v>10</v>
      </c>
      <c r="F116" t="str">
        <f>IF(COUNTIF(Foglio1!$A$2:$A$125, A116)=0, "Mancante", "Presente")</f>
        <v>Presente</v>
      </c>
    </row>
    <row r="117" spans="1:6" hidden="1" x14ac:dyDescent="0.25">
      <c r="A117" s="8" t="s">
        <v>239</v>
      </c>
      <c r="B117" s="8" t="s">
        <v>241</v>
      </c>
      <c r="C117" s="9" t="s">
        <v>354</v>
      </c>
      <c r="D117" s="9">
        <v>183</v>
      </c>
      <c r="E117" s="9">
        <v>104</v>
      </c>
      <c r="F117" t="str">
        <f>IF(COUNTIF(Foglio1!$A$2:$A$125, A117)=0, "Mancante", "Presente")</f>
        <v>Presente</v>
      </c>
    </row>
    <row r="118" spans="1:6" hidden="1" x14ac:dyDescent="0.25">
      <c r="A118" s="8" t="s">
        <v>242</v>
      </c>
      <c r="B118" s="8" t="s">
        <v>241</v>
      </c>
      <c r="C118" s="9" t="s">
        <v>243</v>
      </c>
      <c r="D118" s="9" t="s">
        <v>355</v>
      </c>
      <c r="E118" s="9">
        <v>70</v>
      </c>
      <c r="F118" t="str">
        <f>IF(COUNTIF(Foglio1!$A$2:$A$125, A118)=0, "Mancante", "Presente")</f>
        <v>Presente</v>
      </c>
    </row>
    <row r="119" spans="1:6" hidden="1" x14ac:dyDescent="0.25">
      <c r="A119" s="8" t="s">
        <v>244</v>
      </c>
      <c r="B119" s="8" t="s">
        <v>241</v>
      </c>
      <c r="C119" s="9" t="s">
        <v>356</v>
      </c>
      <c r="D119" s="9">
        <v>170</v>
      </c>
      <c r="E119" s="9">
        <v>40</v>
      </c>
      <c r="F119" t="str">
        <f>IF(COUNTIF(Foglio1!$A$2:$A$125, A119)=0, "Mancante", "Presente")</f>
        <v>Presente</v>
      </c>
    </row>
    <row r="120" spans="1:6" hidden="1" x14ac:dyDescent="0.25">
      <c r="A120" s="8" t="s">
        <v>246</v>
      </c>
      <c r="B120" s="8" t="s">
        <v>241</v>
      </c>
      <c r="C120" s="9" t="s">
        <v>357</v>
      </c>
      <c r="D120" s="9">
        <v>140</v>
      </c>
      <c r="E120" s="9">
        <v>93</v>
      </c>
      <c r="F120" t="str">
        <f>IF(COUNTIF(Foglio1!$A$2:$A$125, A120)=0, "Mancante", "Presente")</f>
        <v>Presente</v>
      </c>
    </row>
    <row r="121" spans="1:6" x14ac:dyDescent="0.25">
      <c r="A121" s="8" t="s">
        <v>358</v>
      </c>
      <c r="B121" s="8" t="s">
        <v>359</v>
      </c>
      <c r="C121" s="9" t="s">
        <v>360</v>
      </c>
      <c r="D121" s="9">
        <v>82</v>
      </c>
      <c r="E121" s="9">
        <v>13</v>
      </c>
      <c r="F121" t="str">
        <f>IF(COUNTIF(Foglio1!$A$2:$A$125, A121)=0, "Mancante", "Presente")</f>
        <v>Mancante</v>
      </c>
    </row>
    <row r="122" spans="1:6" hidden="1" x14ac:dyDescent="0.25">
      <c r="A122" s="8" t="s">
        <v>229</v>
      </c>
      <c r="B122" s="8" t="s">
        <v>231</v>
      </c>
      <c r="C122" s="9" t="s">
        <v>230</v>
      </c>
      <c r="D122" s="9">
        <v>90</v>
      </c>
      <c r="E122" s="9">
        <v>150</v>
      </c>
      <c r="F122" t="str">
        <f>IF(COUNTIF(Foglio1!$A$2:$A$125, A122)=0, "Mancante", "Presente")</f>
        <v>Presente</v>
      </c>
    </row>
    <row r="123" spans="1:6" hidden="1" x14ac:dyDescent="0.25">
      <c r="A123" s="8" t="s">
        <v>232</v>
      </c>
      <c r="B123" s="8" t="s">
        <v>231</v>
      </c>
      <c r="C123" s="9" t="s">
        <v>230</v>
      </c>
      <c r="D123" s="9">
        <v>180</v>
      </c>
      <c r="E123" s="9">
        <v>110</v>
      </c>
      <c r="F123" t="str">
        <f>IF(COUNTIF(Foglio1!$A$2:$A$125, A123)=0, "Mancante", "Presente")</f>
        <v>Presente</v>
      </c>
    </row>
    <row r="124" spans="1:6" x14ac:dyDescent="0.25">
      <c r="A124" s="8" t="s">
        <v>361</v>
      </c>
      <c r="B124" s="8" t="s">
        <v>10</v>
      </c>
      <c r="C124" s="9" t="s">
        <v>9</v>
      </c>
      <c r="D124" s="10"/>
      <c r="E124" s="10"/>
      <c r="F124" t="str">
        <f>IF(COUNTIF(Foglio1!$A$2:$A$125, A124)=0, "Mancante", "Presente")</f>
        <v>Mancante</v>
      </c>
    </row>
    <row r="125" spans="1:6" hidden="1" x14ac:dyDescent="0.25">
      <c r="A125" s="8" t="s">
        <v>36</v>
      </c>
      <c r="B125" s="8" t="s">
        <v>257</v>
      </c>
      <c r="C125" s="9" t="s">
        <v>37</v>
      </c>
      <c r="D125" s="9">
        <v>117</v>
      </c>
      <c r="E125" s="9">
        <v>15</v>
      </c>
      <c r="F125" t="str">
        <f>IF(COUNTIF(Foglio1!$A$2:$A$125, A125)=0, "Mancante", "Presente")</f>
        <v>Presente</v>
      </c>
    </row>
    <row r="126" spans="1:6" hidden="1" x14ac:dyDescent="0.25">
      <c r="A126" s="8" t="s">
        <v>38</v>
      </c>
      <c r="B126" s="8" t="s">
        <v>257</v>
      </c>
      <c r="C126" s="9" t="s">
        <v>39</v>
      </c>
      <c r="D126" s="9">
        <v>130</v>
      </c>
      <c r="E126" s="9">
        <v>36</v>
      </c>
      <c r="F126" t="str">
        <f>IF(COUNTIF(Foglio1!$A$2:$A$125, A126)=0, "Mancante", "Presente")</f>
        <v>Presente</v>
      </c>
    </row>
    <row r="127" spans="1:6" x14ac:dyDescent="0.25">
      <c r="A127" s="8" t="s">
        <v>362</v>
      </c>
      <c r="B127" s="8" t="s">
        <v>359</v>
      </c>
      <c r="C127" s="9" t="s">
        <v>360</v>
      </c>
      <c r="D127" s="9">
        <v>122</v>
      </c>
      <c r="E127" s="9">
        <v>21</v>
      </c>
      <c r="F127" t="str">
        <f>IF(COUNTIF(Foglio1!$A$2:$A$125, A127)=0, "Mancante", "Presente")</f>
        <v>Mancante</v>
      </c>
    </row>
    <row r="128" spans="1:6" x14ac:dyDescent="0.25">
      <c r="A128" s="8" t="s">
        <v>363</v>
      </c>
      <c r="B128" s="8" t="s">
        <v>337</v>
      </c>
      <c r="C128" s="9" t="s">
        <v>337</v>
      </c>
      <c r="D128" s="9">
        <v>140</v>
      </c>
      <c r="E128" s="9">
        <v>20</v>
      </c>
      <c r="F128" t="str">
        <f>IF(COUNTIF(Foglio1!$A$2:$A$125, A128)=0, "Mancante", "Presente")</f>
        <v>Mancante</v>
      </c>
    </row>
    <row r="129" spans="1:6" x14ac:dyDescent="0.25">
      <c r="A129" s="8" t="s">
        <v>364</v>
      </c>
      <c r="B129" s="8" t="s">
        <v>359</v>
      </c>
      <c r="C129" s="9" t="s">
        <v>360</v>
      </c>
      <c r="D129" s="9">
        <v>129</v>
      </c>
      <c r="E129" s="9">
        <v>22</v>
      </c>
      <c r="F129" t="str">
        <f>IF(COUNTIF(Foglio1!$A$2:$A$125, A129)=0, "Mancante", "Presente")</f>
        <v>Mancante</v>
      </c>
    </row>
    <row r="130" spans="1:6" x14ac:dyDescent="0.25">
      <c r="A130" s="8" t="s">
        <v>365</v>
      </c>
      <c r="B130" s="8" t="s">
        <v>366</v>
      </c>
      <c r="C130" s="9" t="s">
        <v>367</v>
      </c>
      <c r="D130" s="9">
        <v>113</v>
      </c>
      <c r="E130" s="9">
        <v>13</v>
      </c>
      <c r="F130" t="str">
        <f>IF(COUNTIF(Foglio1!$A$2:$A$125, A130)=0, "Mancante", "Presente")</f>
        <v>Mancante</v>
      </c>
    </row>
    <row r="131" spans="1:6" hidden="1" x14ac:dyDescent="0.25">
      <c r="A131" s="8" t="s">
        <v>43</v>
      </c>
      <c r="B131" s="8" t="s">
        <v>42</v>
      </c>
      <c r="C131" s="9" t="s">
        <v>26</v>
      </c>
      <c r="D131" s="10"/>
      <c r="E131" s="10"/>
      <c r="F131" t="str">
        <f>IF(COUNTIF(Foglio1!$A$2:$A$125, A131)=0, "Mancante", "Presente")</f>
        <v>Presente</v>
      </c>
    </row>
    <row r="132" spans="1:6" hidden="1" x14ac:dyDescent="0.25">
      <c r="A132" s="8" t="s">
        <v>44</v>
      </c>
      <c r="B132" s="8" t="s">
        <v>42</v>
      </c>
      <c r="C132" s="9" t="s">
        <v>41</v>
      </c>
      <c r="D132" s="9">
        <v>241</v>
      </c>
      <c r="E132" s="9">
        <v>21</v>
      </c>
      <c r="F132" t="str">
        <f>IF(COUNTIF(Foglio1!$A$2:$A$125, A132)=0, "Mancante", "Presente")</f>
        <v>Presente</v>
      </c>
    </row>
    <row r="133" spans="1:6" hidden="1" x14ac:dyDescent="0.25">
      <c r="A133" s="8" t="s">
        <v>67</v>
      </c>
      <c r="B133" s="8" t="s">
        <v>47</v>
      </c>
      <c r="C133" s="9" t="s">
        <v>68</v>
      </c>
      <c r="D133" s="10"/>
      <c r="E133" s="10"/>
      <c r="F133" t="str">
        <f>IF(COUNTIF(Foglio1!$A$2:$A$125, A133)=0, "Mancante", "Presente")</f>
        <v>Presente</v>
      </c>
    </row>
    <row r="134" spans="1:6" hidden="1" x14ac:dyDescent="0.25">
      <c r="A134" s="8" t="s">
        <v>90</v>
      </c>
      <c r="B134" s="8" t="s">
        <v>89</v>
      </c>
      <c r="C134" s="9" t="s">
        <v>26</v>
      </c>
      <c r="D134" s="10"/>
      <c r="E134" s="10"/>
      <c r="F134" t="str">
        <f>IF(COUNTIF(Foglio1!$A$2:$A$125, A134)=0, "Mancante", "Presente")</f>
        <v>Presente</v>
      </c>
    </row>
    <row r="135" spans="1:6" x14ac:dyDescent="0.25">
      <c r="A135" s="8" t="s">
        <v>368</v>
      </c>
      <c r="B135" s="8" t="s">
        <v>369</v>
      </c>
      <c r="C135" s="9" t="s">
        <v>370</v>
      </c>
      <c r="D135" s="10"/>
      <c r="E135" s="10"/>
      <c r="F135" t="str">
        <f>IF(COUNTIF(Foglio1!$A$2:$A$125, A135)=0, "Mancante", "Presente")</f>
        <v>Mancante</v>
      </c>
    </row>
    <row r="136" spans="1:6" x14ac:dyDescent="0.25">
      <c r="A136" s="8" t="s">
        <v>371</v>
      </c>
      <c r="B136" s="8" t="s">
        <v>372</v>
      </c>
      <c r="C136" s="9" t="s">
        <v>230</v>
      </c>
      <c r="D136" s="10"/>
      <c r="E136" s="10"/>
      <c r="F136" t="str">
        <f>IF(COUNTIF(Foglio1!$A$2:$A$125, A136)=0, "Mancante", "Presente")</f>
        <v>Mancante</v>
      </c>
    </row>
  </sheetData>
  <autoFilter ref="A1:F136" xr:uid="{6C158D57-2214-4504-A16E-CB9A5F036677}">
    <filterColumn colId="5">
      <filters>
        <filter val="Mancan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Di Ciocco</dc:creator>
  <cp:lastModifiedBy>Valentina Di Ciocco</cp:lastModifiedBy>
  <dcterms:created xsi:type="dcterms:W3CDTF">2026-09-02T07:32:41Z</dcterms:created>
  <dcterms:modified xsi:type="dcterms:W3CDTF">2026-09-14T08:32:38Z</dcterms:modified>
</cp:coreProperties>
</file>